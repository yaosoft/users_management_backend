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Name" sheetId="1" r:id="rId4"/>
  </sheets>
  <definedNames/>
  <calcPr/>
  <extLst>
    <ext uri="GoogleSheetsCustomDataVersion2">
      <go:sheetsCustomData xmlns:go="http://customooxmlschemas.google.com/" r:id="rId5" roundtripDataChecksum="yXhjNJ+XWWs4UeZ1jzh2ahZ76Qq0SabfQ/ycMpnhlM8="/>
    </ext>
  </extLst>
</workbook>
</file>

<file path=xl/sharedStrings.xml><?xml version="1.0" encoding="utf-8"?>
<sst xmlns="http://schemas.openxmlformats.org/spreadsheetml/2006/main" count="2547" uniqueCount="1031">
  <si>
    <t>BusinessName</t>
  </si>
  <si>
    <t>BusinessAbout</t>
  </si>
  <si>
    <t>GoogleRating</t>
  </si>
  <si>
    <t>Image_url</t>
  </si>
  <si>
    <t>Address</t>
  </si>
  <si>
    <t>City</t>
  </si>
  <si>
    <t>Country</t>
  </si>
  <si>
    <t>Continent</t>
  </si>
  <si>
    <t>Services</t>
  </si>
  <si>
    <t>Website</t>
  </si>
  <si>
    <t>Phone</t>
  </si>
  <si>
    <t>Email</t>
  </si>
  <si>
    <t>LinkedIn</t>
  </si>
  <si>
    <t>Facebook</t>
  </si>
  <si>
    <t>OperatingHours</t>
  </si>
  <si>
    <t>Category</t>
  </si>
  <si>
    <t>Gymanda</t>
  </si>
  <si>
    <t/>
  </si>
  <si>
    <t>4.5/5</t>
  </si>
  <si>
    <t>205 Rotherhithe St</t>
  </si>
  <si>
    <t>London</t>
  </si>
  <si>
    <t>United Kingdom</t>
  </si>
  <si>
    <t>Europe</t>
  </si>
  <si>
    <t>Service options: Online classes · Onsite services</t>
  </si>
  <si>
    <t>amanda@gymanda.com</t>
  </si>
  <si>
    <t>https://www.linkedin.com/jobs/view/chief-financial-officer-cfo-centerpointe-hospital-columbia-at-acadia-healthcare-3803689105</t>
  </si>
  <si>
    <t>https://m.facebook.com/Gymanda/posts/10157521371345718/</t>
  </si>
  <si>
    <t>Monday  12:00PM  -  8:00PM
Tuesday  7:30AM  -  7:30PM
Wednesday  7:30AM  -  7:30PM
Thursday  7:30AM  -  7:30PM
Friday  Closed
Saturday  Closed
Sunday  9:00AM  -  5:00PM</t>
  </si>
  <si>
    <t>Gym + Fitness club + Yoga</t>
  </si>
  <si>
    <t>Digme Fitness Covent Garden</t>
  </si>
  <si>
    <t>Premium spin, HIIT and yoga studio in the heart of London's Seven Dials district. Offering rhythm-based, data driven indoor cycle workouts, yoga flows and an incredible community, Digme Covent Garden is renowned as one of London's friendliest and finest boutique exercise studios.</t>
  </si>
  <si>
    <t>4-10 Tower St</t>
  </si>
  <si>
    <t>+44 20 3745 7270</t>
  </si>
  <si>
    <t>coventgarden@digmefitness.com</t>
  </si>
  <si>
    <t>https://www.facebook.com/digmefitness</t>
  </si>
  <si>
    <t>Monday  6:30AM  -  8:45PM
Tuesday  6:30AM  -  8:45PM
Wednesday  6:30AM  -  8:45PM
Thursday  6:30AM  -  8:45PM
Friday  6:30AM  -  8:00PM
Saturday  8:30AM  -  2:15PM
Sunday  8:30AM  -  2:15PM</t>
  </si>
  <si>
    <t>Embody Wellness</t>
  </si>
  <si>
    <t xml:space="preserve">London </t>
  </si>
  <si>
    <t>+44 20 7099 0048</t>
  </si>
  <si>
    <t>Dr.bengard@gmail.com</t>
  </si>
  <si>
    <t>https://m.facebook.com/EmbodyWellnessChiropracticCenter/</t>
  </si>
  <si>
    <t xml:space="preserve">
</t>
  </si>
  <si>
    <t>BuddhaBox Gym</t>
  </si>
  <si>
    <t>BuddhaBox Gym, located in Mayfair's heart, is a high-end martial arts club with a holistic approach. It offers a diverse array of classes including boxing, Muay Thai, kickboxing, and also features a dedicated Brazilian Jiu-Jitsu academy. In addition to martial arts, the gym provides holistic and recovery-focused classes like yoga, stretching, and breath work.</t>
  </si>
  <si>
    <t>4.9/5</t>
  </si>
  <si>
    <t>Service options: Has sauna</t>
  </si>
  <si>
    <t>+44 20 7081 2767</t>
  </si>
  <si>
    <t>info@buddhabox.uk.com</t>
  </si>
  <si>
    <t>https://www.linkedin.com/posts/buddhabox-london_buddhabox-ss21-activity-6788423593744228352-OO6C?trk=public_profile_like_view</t>
  </si>
  <si>
    <t>https://www.facebook.com/buddhabox/</t>
  </si>
  <si>
    <t>Monday  6:30AM  -  9:30PM
Tuesday  6:30AM  -  9:30PM
Wednesday  6:30AM  -  9:30PM
Thursday  6:30AM  -  9:30PM
Friday  6:30AM  -  9:30PM
Saturday  9:00AM  -  4:00PM
Sunday  10:00AM  -  3:00PM</t>
  </si>
  <si>
    <t>The Refinery E</t>
  </si>
  <si>
    <t>+44 20 7148 5990</t>
  </si>
  <si>
    <t>info@therefinerye9.com</t>
  </si>
  <si>
    <t>https://www.linkedin.com/in/dshapero#:~:text=Daniel%20Shapero%20%2D%20LinkedIn%20%7C%20LinkedIn</t>
  </si>
  <si>
    <t>https://www.facebook.com/therefinerye9</t>
  </si>
  <si>
    <t>Yogarise Peckham - Yoga classes in Peckham Rye</t>
  </si>
  <si>
    <t>Light, airy and open, Yogarise Peckham (our first baby!) launched in 2014 bringing a wide variety of yoga and pilates classes to South East London. We opened a second room in 2017, then gave it all a little makeover in December 2019. With wooden floors, an industrial, warehouse vibe and splashes of colour, our Peckham studio has bags of character. We have on site showering and changing facilities.  Mat hire is £2. There is outdoor yoga on the iconic Bussey Building roof from June-Sept.</t>
  </si>
  <si>
    <t>Bussey Building</t>
  </si>
  <si>
    <t>+44 20 3096 3158</t>
  </si>
  <si>
    <t>hello@yogarise.london</t>
  </si>
  <si>
    <t>https://www.facebook.com/YogariseLondon/</t>
  </si>
  <si>
    <t>Monday  7:00AM  -  9:00PM
Tuesday  7:00AM  -  9:00PM
Wednesday  7:00AM  -  9:00PM
Thursday  7:00AM  -  9:00PM
Friday  7:00AM  -  9:00PM
Saturday  8:00AM  -  6:30PM
Sunday  8:00AM  -  7:00PM</t>
  </si>
  <si>
    <t>Fierce Grace Hot Yoga - Primrose Hill</t>
  </si>
  <si>
    <t>Experience yoga unlike any other yoga at Fierce Grace Primrose Hill, arguably the most beautiful hot yoga studio in London. Located in the old railway ticket office, its quirky &amp; original styling is paired with a high-tech heat system, highly oxygenated air control &amp; controlled humidity system.  Our revolutionary interconnected classes, based on two decades of research and the observation of a quarter of a million bodies, are designed to bring you the ultimate blend of strength and flexibility for both body and mind. Practised in temperatures of between 35-38°C to support safety, detoxification, catharsis and reduce post-workout stiffness, expect transformative results whatever your age, ability or body type.  Live Life with Fierce Grace</t>
  </si>
  <si>
    <t>4.7/5</t>
  </si>
  <si>
    <t>200 Regent's Park Rd</t>
  </si>
  <si>
    <t>London NW1 8BE</t>
  </si>
  <si>
    <t>+44 20 7483 2000</t>
  </si>
  <si>
    <t>studio@fiercegraceph.com</t>
  </si>
  <si>
    <t>https://www.facebook.com/FierceGraceYoga/</t>
  </si>
  <si>
    <t>Monday  7:30AM  -  9:45PM
Tuesday  7:00AM  -  9:35PM
Wednesday  7:00AM  -  9:30PM
Thursday  7:30AM  -  9:30PM
Friday  7:30AM  -  7:45PM
Saturday  9:00AM  -  6:30PM
Sunday  9:00AM  -  8:45PM</t>
  </si>
  <si>
    <t>Brewer Street Yoga</t>
  </si>
  <si>
    <t>Brewer Street Yoga is a boutique yoga studio in the heart of Soho, offering a unique range of small group yoga classes taught by a number of teachers, in a format that is currently not available elsewhere in the area. Fully air-conditioned, it's the only yoga studio in London that offers men-only classes. Unlike many studios we understand that space to move is a vital part of a yoga practice so when social distancing came in our numbers only reduced slightly, and we've maintained that similar spacing now. You won't find mats touching here! We also have a high power air extraction system (unlike many other studios) so the air is as fresh as being outside!</t>
  </si>
  <si>
    <t>4.8/5</t>
  </si>
  <si>
    <t>First Floor</t>
  </si>
  <si>
    <t>London W1F 0SJ</t>
  </si>
  <si>
    <t>http://www.brewerstreetyoga.com/</t>
  </si>
  <si>
    <t>+44 7733 262604</t>
  </si>
  <si>
    <t>yoga@brewerstreetyoga.com</t>
  </si>
  <si>
    <t>https://www.facebook.com/brewerstreetyoga/</t>
  </si>
  <si>
    <t>Monday  3:00PM  -  8:30PM
Tuesday  3:00PM  -  8:30PM
Wednesday  10:00AM  -  8:30PM
Thursday  3:00PM  -  8:30PM
Friday  3:00PM  -  8:30PM
Saturday  10:00AM  -  7:00PM
Sunday  10:30AM  -  12:00PM</t>
  </si>
  <si>
    <t>Integrity Centre</t>
  </si>
  <si>
    <t>Yoga studio in London, England</t>
  </si>
  <si>
    <t>49 Clifton St</t>
  </si>
  <si>
    <t>London EC2A 4EX</t>
  </si>
  <si>
    <t>https://www.integritycentre.co.uk/</t>
  </si>
  <si>
    <t>+44 7725 521804</t>
  </si>
  <si>
    <t>info@integritycentre.co.uk</t>
  </si>
  <si>
    <t>https://www.linkedin.com/jobs/view/senior-vice-president-chief-operating-officer-at-mueller-sports-medicine-inc-3745831228</t>
  </si>
  <si>
    <t>https://www.facebook.com/IntegrityCentreLondon/</t>
  </si>
  <si>
    <t>Monday  5:00PM  -  8:00PM
Tuesday  Closed
Wednesday  5:00PM  -  8:00PM
Thursday  Closed
Friday  Closed
Saturday  Closed
Sunday  Closed</t>
  </si>
  <si>
    <t>London Fields Fitness Studio</t>
  </si>
  <si>
    <t>Gym in London, England</t>
  </si>
  <si>
    <t>379 Mentmore Terrace</t>
  </si>
  <si>
    <t>London E8 3PH</t>
  </si>
  <si>
    <t>Service options: Onsite services · No online classes</t>
  </si>
  <si>
    <t>https://www.londonfieldsfitness.com/</t>
  </si>
  <si>
    <t>+44 7743 795833</t>
  </si>
  <si>
    <t>info@londonfieldsfitness.com</t>
  </si>
  <si>
    <t>https://www.facebook.com/londonfieldsfit/</t>
  </si>
  <si>
    <t>Monday  6:00AM  -  9:30PM
Tuesday  6:00AM  -  9:30PM
Wednesday  6:00AM  -  9:30PM
Thursday  6:00AM  -  9:30PM
Friday  6:00AM  -  9:30PM
Saturday  6:00AM  -  9:30PM
Sunday  6:00AM  -  9:30PM</t>
  </si>
  <si>
    <t>The Yoga Studio London</t>
  </si>
  <si>
    <t>The Yoga Studio London warmly invites you to practice at a bright and open-plan studio in a classic Victorian townhouse.  Try a wide variety of yoga styles in small, intimate classes, ensuring that you receive the attention and adjustments your body needs.  Discover Iyengar, Vinyasa, Yin and Ashtanga styles as well as Sound baths, Meditation, Pilates &amp; more!  All levels are most welcome :)  Mats, blocks, cushions and other equipment are all provided.  Minutes away from Angel Station and Regents Canal.  We look forward to welcoming you here soon!  Emilie, Jay, Giuliana, Liz, Mel, Daria, Lucy &amp; Nicki</t>
  </si>
  <si>
    <t>2 Burgh St</t>
  </si>
  <si>
    <t>London N1 8HF</t>
  </si>
  <si>
    <t>https://www.theyogastudiolondon.com/</t>
  </si>
  <si>
    <t>+44 7599 417727</t>
  </si>
  <si>
    <t>info@theyogastudiolondon.com</t>
  </si>
  <si>
    <t>https://www.facebook.com/theyogastudiolondon/</t>
  </si>
  <si>
    <t>Monday  7:30AM  -  8:30PM
Tuesday  7:30AM  -  8:30PM
Wednesday  7:30AM  -  8:30PM
Thursday  7:30AM  -  8:30PM
Friday  7:30AM  -  8:15PM
Saturday  9:00AM  -  6:15PM
Sunday  10:00AM  -  6:15PM</t>
  </si>
  <si>
    <t>Digme Fitness Bank</t>
  </si>
  <si>
    <t>Premium spin, HIIT, barre and yoga studio in the heart of London's City. Offering rhythm-based and data driven indoor cycle workouts, Functional HIIT and Strength sessions, Barre workouts and yoga flows, Digme Bank delivers across all of your Group Exercise needs</t>
  </si>
  <si>
    <t>40 Coleman St</t>
  </si>
  <si>
    <t>London EC2V 7NG</t>
  </si>
  <si>
    <t>https://www.digmefitness.com/studio/bank</t>
  </si>
  <si>
    <t>+44 20 4553 1305</t>
  </si>
  <si>
    <t>bank@digmefitness.com</t>
  </si>
  <si>
    <t>https://www.facebook.com/digmefitness/</t>
  </si>
  <si>
    <t>Monday  6:15AM  -  8:45PM
Tuesday  6:15AM  -  8:45PM
Wednesday  6:15AM  -  8:45PM
Thursday  6:15AM  -  8:45PM
Friday  6:15AM  -  7:45PM
Saturday  9:00AM  -  1:00PM
Sunday  9:45AM  -  1:30PM</t>
  </si>
  <si>
    <t>The Shala Yoga Centre</t>
  </si>
  <si>
    <t>https://www.theshalalondon.com/</t>
  </si>
  <si>
    <t>+44 7792 143296</t>
  </si>
  <si>
    <t>admin@theshala.co.uk</t>
  </si>
  <si>
    <t>https://www.facebook.com/TheShalaYogaLondon</t>
  </si>
  <si>
    <t>Fold Yoga London</t>
  </si>
  <si>
    <t>97 Green Lanes</t>
  </si>
  <si>
    <t>London N16 9BX</t>
  </si>
  <si>
    <t>http://www.foldyoga.co.uk/</t>
  </si>
  <si>
    <t>+44 7972 367663</t>
  </si>
  <si>
    <t>hello@fold-london.co.uk</t>
  </si>
  <si>
    <t>https://www.facebook.com/foldyogalondon/</t>
  </si>
  <si>
    <t>Monday  7:30AM  -  9:00PM
Tuesday  7:30AM  -  9:00PM
Wednesday  7:30AM  -  9:00PM
Thursday  7:30AM  -  7:00PM
Friday  7:30AM  -  8:30PM
Saturday  9:15AM  -  4:30PM
Sunday  9:30AM  -  5:15PM</t>
  </si>
  <si>
    <t>Yogarise Covent Garden - Yoga classes in Covent Garden</t>
  </si>
  <si>
    <t>*WE ARE RE-OPENING ON THURSDAY 18TH JANUARY 2024*  In summer 2019 we opened our first central London yoga studio, Yogarise Covent Garden, bringing London's top yoga and pilates teachers and classes to Mercer Street. During 2020, we knocked through our two smaller studios to create one large practice area. This new, larger studio is light and airy and makes for a spacious practice area.  We are excited to reopen Yogarise Covent Garden in January 2024, with a whole host of Dynamic Flow, Vinyasa and Hatha Flow Yoga classes and Dynamic Pilates - with more to come in spring!  PLEASE NOTE: There is no reception. Please arrive 10-minutes early for class. Doors will be locked during class. There are no showers.</t>
  </si>
  <si>
    <t>13 Mercer St</t>
  </si>
  <si>
    <t>London WC2H 9QJ</t>
  </si>
  <si>
    <t>https://www.yogarise.london/covent-garden-studio/</t>
  </si>
  <si>
    <t>Monday  12:00PM  -  8:00PM
Tuesday  7:00AM  -  8:00PM
Wednesday  7:00AM  -  8:00PM
Thursday  7:00AM  -  8:00PM
Friday  12:00PM  -  1:30 , 5PM
Saturday  8:30PM  -  11:30AM
Sunday  8:30PM  -  10:00AM</t>
  </si>
  <si>
    <t>Iyengar Yoga London</t>
  </si>
  <si>
    <t>Iyengar Yoga London Maida Vale has been welcoming yoga students and teachers since B.K.S. Iyengar first taught classes here in 1984. Located in Maida Vale, a few minutes from the tube station, we are open daily offering classes for all levels from complete beginners to advanced practitioners. Our purpose built studios were designed to provide a bright, calm practice space. As a charity, we run on a non-profit basis with a commitment to offering affordable yoga. We are proud to offer exceptional Iyengar Yoga teaching including specialist classes for 60+, Pregnancy, Children, Teenagers, students with MS &amp; Neurological Conditions and Remedial yoga. We also provide professional development and regular Teachers classes.</t>
  </si>
  <si>
    <t>223a Randolph Ave.</t>
  </si>
  <si>
    <t>London W9 1NL</t>
  </si>
  <si>
    <t>https://iyengaryogalondon.co.uk/</t>
  </si>
  <si>
    <t>+44 20 7624 3080</t>
  </si>
  <si>
    <t>office@iyengaryogalondon.co.uk</t>
  </si>
  <si>
    <t>https://www.facebook.com/iyengaryogalondon/</t>
  </si>
  <si>
    <t>Monday  9:00AM  -  7:30PM
Tuesday  9:00AM  -  7:00PM
Wednesday  9:00AM  -  8:00PM
Thursday  9:00AM  -  7:00PM
Friday  9:00AM  -  6:30PM
Saturday  8:00AM  -  4:00PM
Sunday  9:00AM  -  6:00PM</t>
  </si>
  <si>
    <t>The London Gym</t>
  </si>
  <si>
    <t>The London Gym is London’s most exclusive Personal Training Company, a boutique, members only gym and at home Personal Training. We offer an excellent all-round fitness service that is underpinned by strong attention to detail and 24hr exceptional customer service. We put privacy and well-being of our Clientele at a cornerstone of our approach to training, each client who successful becomes a member will receive the most exclusive one to one service never seen before in this detail. Our Personal Training Experience will change your lifestyle and transform your body.  Our elite team of trainers are with our Clients every step of the way. Every trainer has over 10 years of experience.</t>
  </si>
  <si>
    <t>65</t>
  </si>
  <si>
    <t>London SW18 1XY</t>
  </si>
  <si>
    <t>http://www.thelondongym.co.uk/</t>
  </si>
  <si>
    <t>+44 7788 255048</t>
  </si>
  <si>
    <t>info@thelondongym.co.uk</t>
  </si>
  <si>
    <t>https://www.facebook.com/p/The-London-Gym-100063736532492/</t>
  </si>
  <si>
    <t>Monday  6:00AM  -  9:00PM
Tuesday  6:00AM  -  9:00PM
Wednesday  6:00AM  -  9:00PM
Thursday  6:00AM  -  9:00PM
Friday  6:30AM  -  6:00PM
Saturday  8:00AM  -  3:30PM
Sunday  8:00AM  -  3:30PM</t>
  </si>
  <si>
    <t>SPORTSESSION.COM</t>
  </si>
  <si>
    <t>Name your sporting or fitness goal — we'll help you smash it. Personal Training, Yoga, Pilates, HIIT, Boxing, and SO MUCH MORE.  Find your ideal coach or instructor across 100+ sports and wellness activities. Our expert coaches are available in-person all across London and beyond, and online anywhere.  SPORTSESSION is your passport to coaches you'll love at a price and pace you want, and no gym membership to drain your bank account.</t>
  </si>
  <si>
    <t>Knightrider House</t>
  </si>
  <si>
    <t>London EC4V 5AR</t>
  </si>
  <si>
    <t>https://www.sportsession.com/</t>
  </si>
  <si>
    <t>+44 20 7965 7194</t>
  </si>
  <si>
    <t>support@sportsession.com</t>
  </si>
  <si>
    <t>https://www.facebook.com/SportSessionDotCom</t>
  </si>
  <si>
    <t>Monday  9:00AM  -  5:00PM
Tuesday  9:00AM  -  5:00PM
Wednesday  9:00AM  -  5:00PM
Thursday  9:00AM  -  5:00PM
Friday  9:00AM  -  5:00PM
Saturday  Closed
Sunday  Closed</t>
  </si>
  <si>
    <t>Gymbox Ealing</t>
  </si>
  <si>
    <t>If you’re looking for the wildest workouts in West London, give your training the Gymbox treatment. Whether it’s the free weights, killer cardio equipment, best-in-class boxing kit or seriously sweaty spin studios that you’re after, Gymbox Ealing is the gym that does it all.</t>
  </si>
  <si>
    <t>UNIT 15 Dickens Yard</t>
  </si>
  <si>
    <t>London W5 2TJ</t>
  </si>
  <si>
    <t>https://www.gymbox.com/gyms/ealing</t>
  </si>
  <si>
    <t>+44 20 3973 1118</t>
  </si>
  <si>
    <t>press@gymbox.co.uk</t>
  </si>
  <si>
    <t>https://uk.linkedin.com/jobs/group-exercise-instructor-jobs-orpington</t>
  </si>
  <si>
    <t>https://www.facebook.com/GymboxOfficial/</t>
  </si>
  <si>
    <t>Monday  6:00AM  -  11:00PM
Tuesday  6:00AM  -  11:00PM
Wednesday  6:00AM  -  11:00PM
Thursday  6:00AM  -  11:00PM
Friday  6:00AM  -  11:00PM
Saturday  8:00AM  -  8:00PM
Sunday  8:00AM  -  8:00PM</t>
  </si>
  <si>
    <t>Gymbox Westfield London</t>
  </si>
  <si>
    <t>Westfield Shopping Centre</t>
  </si>
  <si>
    <t>London W12 7GF</t>
  </si>
  <si>
    <t>+44 20 8735 5090</t>
  </si>
  <si>
    <t>westfieldlondonenquiries@gymbox.co.uk</t>
  </si>
  <si>
    <t>Purple Prana Yoga</t>
  </si>
  <si>
    <t>https://www.purpleprana.org/</t>
  </si>
  <si>
    <t>drop@purpleprana.org</t>
  </si>
  <si>
    <t>Happy at Heart Yoga</t>
  </si>
  <si>
    <t>Arundel Court, Jubilee Pl</t>
  </si>
  <si>
    <t>London SW3 3TJ</t>
  </si>
  <si>
    <t>https://happyatheartyoga.com/</t>
  </si>
  <si>
    <t>+44 7468 335125</t>
  </si>
  <si>
    <t>info@happyatheartyoga.com</t>
  </si>
  <si>
    <t>https://web.facebook.com/happyatheartyoga/?_rdc=1&amp;_rdr</t>
  </si>
  <si>
    <t>Monday  (Washington's Birthday)8:30PM  -  11:30  , 5AM
Tuesday  Closed
Wednesday  5:00PM  -  6:30PM
Thursday  8:30PM  -  11:30AM
Friday  Closed
Saturday  Closed
Sunday  Closed</t>
  </si>
  <si>
    <t>East Ham Leisure Centre</t>
  </si>
  <si>
    <t>3.7/5</t>
  </si>
  <si>
    <t>London E6 2RT</t>
  </si>
  <si>
    <t>https://www.activenewham.org.uk/easthamleisurecentre</t>
  </si>
  <si>
    <t>+44 300 124 0123</t>
  </si>
  <si>
    <t>customer.services@activenewham.org.uk</t>
  </si>
  <si>
    <t>https://www.facebook.com/EastHamLeisure/?locale=en_GB</t>
  </si>
  <si>
    <t>Monday  6:00AM  -  10:00PM
Tuesday  6:00AM  -  10:00PM
Wednesday  6:00AM  -  10:00PM
Thursday  6:00AM  -  10:00PM
Friday  6:00AM  -  10:00PM
Saturday  8:00AM  -  3:00PM
Sunday  8:00AM  -  3:00PM</t>
  </si>
  <si>
    <t>Empowering Yoga</t>
  </si>
  <si>
    <t>empoweringyoga.co.uk</t>
  </si>
  <si>
    <t>+44 7944 529767</t>
  </si>
  <si>
    <t>info@empoweringyoga.co.uk</t>
  </si>
  <si>
    <t>https://web.facebook.com/EmpoweringYoga/?_rdc=1&amp;_rdr</t>
  </si>
  <si>
    <t>Leyla Yoga London</t>
  </si>
  <si>
    <t>49 Corsica St</t>
  </si>
  <si>
    <t>London N5 1PJ</t>
  </si>
  <si>
    <t>+44 7852 988204</t>
  </si>
  <si>
    <t>leylayogalondon@gmail.com</t>
  </si>
  <si>
    <t>https://www.linkedin.com/jobs/view/beyond-yoga-vp-of-ecommerce-at-beyond-yoga-3767923788</t>
  </si>
  <si>
    <t>https://www.facebook.com/Leylayogalondon/</t>
  </si>
  <si>
    <t>Monday  6:30PM  -  7:45PM
Tuesday  Closed
Wednesday Closed
Thursday  Closed
Friday  Closed
Saturday  Closed
Sunday  Closed</t>
  </si>
  <si>
    <t>Gymbox Stratford</t>
  </si>
  <si>
    <t>Combat zones, free weights, cardio kit, stunning studios and the most creative classes in the capital. Whatever gym experience you’ve been shopping around for, Gymbox Stratford’s banging nightclub vibe’s where working out feels more like going out, whatever your style.</t>
  </si>
  <si>
    <t>4.6/5</t>
  </si>
  <si>
    <t>Westfield stratford city</t>
  </si>
  <si>
    <t>London E20 1GL</t>
  </si>
  <si>
    <t>+44 20 3819 8548</t>
  </si>
  <si>
    <t>westfieldstratfordenquiries@gymbox.co.uk</t>
  </si>
  <si>
    <t>London Yoga</t>
  </si>
  <si>
    <t>3019 S 25th E. Ammon ID, 83406</t>
  </si>
  <si>
    <t>https://yogalondon.us/</t>
  </si>
  <si>
    <t>208-346-7080</t>
  </si>
  <si>
    <t>yogalondonidahofalls@gmail.com</t>
  </si>
  <si>
    <t>https://www.facebook.com/yogalondonus</t>
  </si>
  <si>
    <t>Yoga at Helios</t>
  </si>
  <si>
    <t>Ammon ID, 83406</t>
  </si>
  <si>
    <t>https://helioscentre.org.uk/</t>
  </si>
  <si>
    <t>+44 20 7713 7120</t>
  </si>
  <si>
    <t>Maegan's Mindful YogaLondon</t>
  </si>
  <si>
    <t>https://megansmindfulmovement.com/</t>
  </si>
  <si>
    <t>megan@megansmindfulmovement.com</t>
  </si>
  <si>
    <t>Ozone Health and Fitness Club</t>
  </si>
  <si>
    <t>https://www.ozonehealthandfitness.co.uk/</t>
  </si>
  <si>
    <t>+44 20 7698 4039</t>
  </si>
  <si>
    <t>ozone@holidayinnlondon.com</t>
  </si>
  <si>
    <t>https://www.facebook.com/ozonehealthclub/</t>
  </si>
  <si>
    <t>Yogasphere</t>
  </si>
  <si>
    <t>+44 20 3699 9952</t>
  </si>
  <si>
    <t>YS Yoga</t>
  </si>
  <si>
    <t>https://www.ysyoga.co.uk/</t>
  </si>
  <si>
    <t>+44 (0)207 419 8555</t>
  </si>
  <si>
    <t>clients@ysyoga.co.uk</t>
  </si>
  <si>
    <t>https://www.facebook.com/ysyogauk/about</t>
  </si>
  <si>
    <t>Lunchtime Yoga with Yuri</t>
  </si>
  <si>
    <t>https://yuriyoga.co.uk/</t>
  </si>
  <si>
    <t xml:space="preserve">+44 07876 684 812 </t>
  </si>
  <si>
    <t>yuri@yuriyoga.co.uk</t>
  </si>
  <si>
    <t>https://www.linkedin.com/jobs/view/director-of-cyber-defense-at-alo-yoga-3748114797</t>
  </si>
  <si>
    <t>https://www.facebook.com/yuriyogalondon?paipv=0&amp;eav=AfZ6i3MfNpfw7aY5wgi8D5R7fq3nXcnmlmOGnq0QMuk5M6ifuts6inHKHSXW8PizOE4&amp;_rdr</t>
  </si>
  <si>
    <t>Pure Balance Yoga</t>
  </si>
  <si>
    <t>https://www.purebalanceyoga.co.uk/</t>
  </si>
  <si>
    <t>07779 084 684</t>
  </si>
  <si>
    <t>rachel@purebalanceyoga.co.uk</t>
  </si>
  <si>
    <t>https://www.linkedin.com/jobs/head-of-analytics-jobs</t>
  </si>
  <si>
    <t>https://www.facebook.com/purebalanceyoga/?fref=ts</t>
  </si>
  <si>
    <t>Yoga with Srinivas</t>
  </si>
  <si>
    <t>275 Borough High St, London SE1 1JE, United Kingdom</t>
  </si>
  <si>
    <t>+44 7477 702321</t>
  </si>
  <si>
    <t>srisriyogasrinivas@gmail.com</t>
  </si>
  <si>
    <t>Pommama Ltd</t>
  </si>
  <si>
    <t>3rd Floor, Fairgate House, 78 New Oxford St, London WC1A 1HB, United Kingdom</t>
  </si>
  <si>
    <t>https://www.pommama.com/</t>
  </si>
  <si>
    <t>+44 7776 233306</t>
  </si>
  <si>
    <t>Yoga Alliance International</t>
  </si>
  <si>
    <t>https://www.yogaalliance.org/</t>
  </si>
  <si>
    <t>info@yogaalliance.org</t>
  </si>
  <si>
    <t>https://www.linkedin.com/in/marcuswade</t>
  </si>
  <si>
    <t>https://www.facebook.com/yogaalliance/</t>
  </si>
  <si>
    <t>Health and Fitness Club London</t>
  </si>
  <si>
    <t>151 Draycott Avenue, London, United Kingdom</t>
  </si>
  <si>
    <t>+44 20 7584 5333</t>
  </si>
  <si>
    <t>membership@kxlife.co.uk</t>
  </si>
  <si>
    <t>https://www.facebook.com/KXLife/</t>
  </si>
  <si>
    <t>South Bank Yoga</t>
  </si>
  <si>
    <t>London NW1 4AQ</t>
  </si>
  <si>
    <t>https://southbankyoga.co.uk/</t>
  </si>
  <si>
    <t>07812 827 566</t>
  </si>
  <si>
    <t>Brenda@southbankyoga.co.uk</t>
  </si>
  <si>
    <t>Xscape Studio</t>
  </si>
  <si>
    <t>1 Marylebone Rd</t>
  </si>
  <si>
    <t>info@xscapestudio.com</t>
  </si>
  <si>
    <t>https://www.facebook.com/xscapestudios/</t>
  </si>
  <si>
    <t>UCL Yoga and Meditation Society</t>
  </si>
  <si>
    <t>uclu.ymc@gmail.com</t>
  </si>
  <si>
    <t>https://www.linkedin.com/company/ucl-yoga-and-meditation-society</t>
  </si>
  <si>
    <t>https://www.facebook.com/UCLYogaMeditationClub/</t>
  </si>
  <si>
    <t>Kundalini Yoga London</t>
  </si>
  <si>
    <t>https://www.kundaliniyoga.london/</t>
  </si>
  <si>
    <t>07952 307862</t>
  </si>
  <si>
    <t>ed@kundaliniyoga.london</t>
  </si>
  <si>
    <t>https://www.google.com/search?sca_esv=c2c5be54cb889fa4&amp;q=When+was+LinkedIn+created%3F&amp;sa=X&amp;ved=2ahUKEwiUgLumt7WEAxVkHzQIHfDxCzgQsZYEegQIEhAC</t>
  </si>
  <si>
    <t>https://www.facebook.com/soulexplorerLDN</t>
  </si>
  <si>
    <t>Yoga with Adelene Cheong</t>
  </si>
  <si>
    <t>https://www.adelenecheong.com/</t>
  </si>
  <si>
    <t>+44 7717 411335</t>
  </si>
  <si>
    <t>yoga@adelenecheong.com</t>
  </si>
  <si>
    <t>https://www.linkedin.com/posts/anneena-tahin-581b97179_keep-moving-forward-activity-6944152980656971776-4tSp</t>
  </si>
  <si>
    <t>https://www.facebook.com/adeleneyoga/?locale=en_GB</t>
  </si>
  <si>
    <t>Stretching inc Covent Garden</t>
  </si>
  <si>
    <t>9-11 Short's Gardens, London, United Kingdom</t>
  </si>
  <si>
    <t>https://www.stretchinc.uk/</t>
  </si>
  <si>
    <t>+44 20 7836 2801</t>
  </si>
  <si>
    <t>hello@stretchinc.uk</t>
  </si>
  <si>
    <t>https://www.facebook.com/stretchinc1</t>
  </si>
  <si>
    <t>David Lloyd Raynes Park</t>
  </si>
  <si>
    <t>A short hop from Wimbledon, David Lloyd Raynes Park is far more than just a health club. With unparalleled racquets, gym and spa facilities, plus a social scene as lively as our kids’ club, there’s something here for everyone, from early morning workout to post-match dinner.</t>
  </si>
  <si>
    <t>London SW20 8TE</t>
  </si>
  <si>
    <t>Service options: Has swimming pool · Has sauna · Has swimming pool</t>
  </si>
  <si>
    <t>+44 20 8543 8020</t>
  </si>
  <si>
    <t>https://www.facebook.com/davidlloyd.raynespark/</t>
  </si>
  <si>
    <t>Monday  6:00AM  -  11:00PM
Tuesday  6:00AM  -  11:00PM
Wednesday  6:00AM  -  11:00PM
Thursday  6:00AM  -  11:00PM
Friday  6:00AM  -  11:00PM
Saturday  7:00AM  -  10:00PM
Sunday  7:00AM  -  10:00PM</t>
  </si>
  <si>
    <t>London College of Vedic Studies</t>
  </si>
  <si>
    <t>10 Soho St</t>
  </si>
  <si>
    <t>London W1D 3DL</t>
  </si>
  <si>
    <t>https://iskcon.london/</t>
  </si>
  <si>
    <t>+44 20 7437 3662</t>
  </si>
  <si>
    <t>lcvs@iskcon.london</t>
  </si>
  <si>
    <t>https://www.facebook.com/iskconlondon</t>
  </si>
  <si>
    <t>Monday  Open 24 hours
Tuesday  Open 24 hours
Wednesday Open 24 hours
Thursday  Open 24 hours
Friday  Open 24 hours
Saturday  Open 24 hours
Sunday  Open 24 hours</t>
  </si>
  <si>
    <t>stretch inc.</t>
  </si>
  <si>
    <t>27 Short's Gardens</t>
  </si>
  <si>
    <t>London WC2H 9AZ</t>
  </si>
  <si>
    <t>+44 7907 712418</t>
  </si>
  <si>
    <t>https://www.linkedin.com/jobs/executive-vice-president-jobs-schaumburg-il</t>
  </si>
  <si>
    <t>https://www.facebook.com/stretchincUK/photos/a.127306195345197/514822336593579/?type=3&amp;locale=hi_IN</t>
  </si>
  <si>
    <t>Monday  10:00AM  -  8:00PM
Tuesday  10:00AM  -  8:00PM
Wednesday  10:00AM  -  8:00PM
Thursday  10:00AM  -  8:00PM
Friday  10:00AM  -  8:00PM
Saturday  10:00AM  -  8:00PM
Sunday  12:00PM  -  5:00PM</t>
  </si>
  <si>
    <t>London Street Gym</t>
  </si>
  <si>
    <t>https://www.paddingtongyms.com/london-street-gym/</t>
  </si>
  <si>
    <t>+44 20 7706 4444</t>
  </si>
  <si>
    <t>info@paddingtongyms.com</t>
  </si>
  <si>
    <t>Females Fitness Collective</t>
  </si>
  <si>
    <t>+44 7944 110303</t>
  </si>
  <si>
    <t>femalesfitness@yahoo.com</t>
  </si>
  <si>
    <t>https://www.facebook.com/femalesfitnesscollective/</t>
  </si>
  <si>
    <t>YMCA Club</t>
  </si>
  <si>
    <t>London NW1 6UA</t>
  </si>
  <si>
    <t>https://www.ymcaclub.co.uk/</t>
  </si>
  <si>
    <t>+44 20 3994 9600</t>
  </si>
  <si>
    <t>club.enquiries@ymcaclub.co.uk</t>
  </si>
  <si>
    <t>https://www.facebook.com/ymcaclub/</t>
  </si>
  <si>
    <t>Indaba Yoga Studio</t>
  </si>
  <si>
    <t>18 Hayes Pl</t>
  </si>
  <si>
    <t>http://www.indabayoga.com/</t>
  </si>
  <si>
    <t>+44 20 7724 9994</t>
  </si>
  <si>
    <t>welcome@indabayoga.com</t>
  </si>
  <si>
    <t>https://www.facebook.com/Indaba.Yoga/</t>
  </si>
  <si>
    <t>Monday  7:00AM  -  8:30PM
Tuesday  7:00AM  -  8:30PM
Wednesday  7:00AM  -  8:30PM
Thursday  7:00AM  -  8:30PM
Friday  7:00AM  -  8:30PM
Saturday  9:30AM  -  5:00PM
Sunday  9:30AM  -  6:30PM</t>
  </si>
  <si>
    <t>Fierce Grace Hot Yoga - City - Mission E</t>
  </si>
  <si>
    <t>Experience the dynamic and varied Fierce Grace classes at Mission, Spitalfields. A beautiful new yoga studio featuring 5 yoga rooms, sauna, roof top restaurant and a range of the Fierce Grace classes. Our evolutionary interconnected, class method, taught in an inclusive and welcoming way, will get you fitter and more relaxed than you imagined possible. Based on two decades of research and the observation of a quarter of a million bodies, FG has been designed to bring you the ultimate blend of strength and flexibility for both body and mind.  Practised in temperatures of between 35-38°C to support safe stretching, catharsis and reduce post-workout stiffness, expect transformative results whatever your age, ability or body type.</t>
  </si>
  <si>
    <t>7-9 Fashion St</t>
  </si>
  <si>
    <t>London E1 6PX</t>
  </si>
  <si>
    <t>https://www.fiercegrace.com/studios/city</t>
  </si>
  <si>
    <t>+44 20 3011 1080</t>
  </si>
  <si>
    <t>fgtv@fiercegrace.com</t>
  </si>
  <si>
    <t>Monday  6:00AM  -  8:30PM
Tuesday  6:00AM  -  8:30PM
Wednesday  6:00AM  -  8:30PM
Thursday  6:00AM  -  8:30PM
Friday  6:00AM  -  8:30PM
Saturday  8:30AM  -  7:30PM
Sunday  8:30AM  -  7:30PM</t>
  </si>
  <si>
    <t>triyoga Camden</t>
  </si>
  <si>
    <t>The yoga studio / wellness centre at Camden is a beautiful renovated Victorian warehouse – originally a piano factory – with high ceilings, natural light and lots of space. The centre includes:  5 yoga studios including a far infrared heated studio Pilates and Gyrotonic studio Barre studio 6 treatment rooms for massages, osteo and holistic therapies Far infrared sauna (free to use and closes 15 minutes before the centre closes) Meditation room Café Disabled access (please ask for assistance) Yoga + lifestyle shop Classes also live-streamed from the studios via Zoom</t>
  </si>
  <si>
    <t>57a Jamestown Rd</t>
  </si>
  <si>
    <t>London NW1 7DB</t>
  </si>
  <si>
    <t>https://triyoga.co.uk/locations/triyoga-camden/</t>
  </si>
  <si>
    <t>+44 20 7483 3344</t>
  </si>
  <si>
    <t>marketing@triyoga.co.uk</t>
  </si>
  <si>
    <t>https://www.facebook.com/triyogauk/</t>
  </si>
  <si>
    <t>Monday  6:15AM  -  9:00PM
Tuesday  6:15AM  -  9:15PM
Wednesday  6:15AM  -  9:30PM
Thursday  6:15AM  -  9:15PM
Friday  6:45AM  -  8:45PM
Saturday  8:00AM  -  8:15PM
Sunday  9:00AM  -  8:00PM</t>
  </si>
  <si>
    <t>Vita Boutique Fitness</t>
  </si>
  <si>
    <t>Welcome to Vita Boutique Fitness in Sloane Square, your wellness sanctuary in Kensington &amp; Chelsea. Led by elite instructors, we offer an array of classes including signature Reformer Pilates, bespoke core workouts, yoga classes, vibrant dance classes, and comprehensive strength training, welcoming all fitness levels. Enhance your visit with exclusive treatments like our Head Spa, LED therapy, Endermologie LPG massage, haircuts, and blow-drys. Enjoy artisan Italian coffee, nutritious superfoods, and delicious low-sugar options at our café. Vita is the epitome of holistic health, beauty, and rejuvenation.</t>
  </si>
  <si>
    <t>31 Sloane Square</t>
  </si>
  <si>
    <t>London SW1W 8AQ</t>
  </si>
  <si>
    <t>https://vitaboutiquefitness.com/</t>
  </si>
  <si>
    <t>+44 20 7730 4814</t>
  </si>
  <si>
    <t>https://www.linkedin.com/posts/paige-walker-2891abb8_thrilled-to-embark-on-this-new-chapter-being-activity-7089627455434469376-wWak</t>
  </si>
  <si>
    <t>https://www.facebook.com/p/Vita-Boutique-Fitness-100083897301041/</t>
  </si>
  <si>
    <t>Monday  7:30AM  -  8:30PM
Tuesday  7:30AM  -  8:30PM
Wednesday  7:30AM  -  8:30PM
Thursday  7:30AM  -  8:30PM
Friday  7:30AM  -  8:30PM
Saturday  9:00AM  -  6:00PM
Sunday  9:00AM  -  6:00PM</t>
  </si>
  <si>
    <t>Sadhana Yoga &amp; Wellbeing Studio London (Clapham)</t>
  </si>
  <si>
    <t>We are more than a wellbeing studio that fuses the power of yoga and body movement with holistic therapies. We are an urban oasis, where you can disconnect from the daily grind and reconnect with the real you.  Nurturing a feeling of community is at the heart of everything we do. As our community grows, it is this spiritual path that brings us together. At its heart, Sadhana is a space where everyone is welcome. A space that allows you to escape the noise of the city and explore what really matters. A place where our arms are always wide open and somewhere you can always call home.  We come together to practice yoga in a supportive environment and reap the benefits of holistic therapies.</t>
  </si>
  <si>
    <t>91 St John's Hill</t>
  </si>
  <si>
    <t>London SW11 1SY</t>
  </si>
  <si>
    <t>https://sadhana-wellbeing.com/</t>
  </si>
  <si>
    <t>+44 20 7585 0377</t>
  </si>
  <si>
    <t>cj@sadhana-wellbeing.com</t>
  </si>
  <si>
    <t>https://www.linkedin.com/pub/dir/Sadhana/Yoga</t>
  </si>
  <si>
    <t>https://www.facebook.com/sadhanawellbeing/</t>
  </si>
  <si>
    <t>Monday  6:30AM  -  10:30PM
Tuesday  6:30AM  -  10:30PM
Wednesday  6:30AM  -  10:30PM
Thursday  6:30AM  -  10:30PM
Friday  6:30AM  -  10:30PM
Saturday  8:00AM  -  9:00PM
Sunday  8:00AM  -  9:00PM</t>
  </si>
  <si>
    <t>Stillpoint Yoga London</t>
  </si>
  <si>
    <t>Stillpoint Yoga London is a London yoga studio and event company. We have been running Monday to Friday morning Ashtanga yoga classes and events since 2009 and we help people to develop a personal ashtanga yoga practice that supports their life. We also run events that host some of the worlds leading yoga teachers.</t>
  </si>
  <si>
    <t>West Wing</t>
  </si>
  <si>
    <t>London SE1 9TL</t>
  </si>
  <si>
    <t>Service options: Onsite services</t>
  </si>
  <si>
    <t>http://www.stillpoint.yoga/</t>
  </si>
  <si>
    <t>+44 7590 110784</t>
  </si>
  <si>
    <t>scottj@stillpoint.yoga</t>
  </si>
  <si>
    <t>https://www.facebook.com/stillpointyogalondon/?locale=en_GB</t>
  </si>
  <si>
    <t>Monday  6:30PM  -  9:00AM
Tuesday  6:30PM  -  9:00AM
Wednesday  6:30PM  -  9:00AM
Thursday  6:30PM  -  9:00AM
Friday  6:30PM  -  9:00AM
Saturday  Closed
Sunday  Closed</t>
  </si>
  <si>
    <t>Isha Yoga Centre London</t>
  </si>
  <si>
    <t>1-2 Silex St</t>
  </si>
  <si>
    <t>London SE1 0DW</t>
  </si>
  <si>
    <t>https://www.ishayoga.eu/index.php/london-centre/</t>
  </si>
  <si>
    <t>+44 7720 318350</t>
  </si>
  <si>
    <t>uk@ishafoundation.org</t>
  </si>
  <si>
    <t>https://www.facebook.com/sadhguru</t>
  </si>
  <si>
    <t>Monday  10:00AM  -  8:00PM
Tuesday  10:00AM  -  8:00PM
Wednesday  10:00AM  -  8:00PM
Thursday  10:00AM  -  8:00PM
Friday  10:00AM  -  8:00PM
Saturday  10:00AM  -  8:00PM
Sunday  10:00AM  -  8:00PM</t>
  </si>
  <si>
    <t>Fitness First</t>
  </si>
  <si>
    <t>https://www.fitnessfirst.co.uk/</t>
  </si>
  <si>
    <t>https://www.facebook.com/FitnessFirstUKOfficial</t>
  </si>
  <si>
    <t>Mudra Yoga London</t>
  </si>
  <si>
    <t>Mudra Yoga Studio is a beautiful all level yoga studio offering a friendly, supportive and inspiring space to explore yoga and it's many teachings and benefits. We provide daily yoga classes (7 days a week from 7am - 8pm) and monthly yoga workshops by some of London's most experienced and dedicated yoga teachers. Run by Stoke Newington residents and yoga teachers (Paul &amp; Emily-Clare) with a commitment to make every class an authentic yoga experience and the space to be a sanctuary for all to join. You can find us directly opposite the Clissold Park just off Church St in Stoke Newington, London N16 9HS.</t>
  </si>
  <si>
    <t>2 Shelford Pl</t>
  </si>
  <si>
    <t>London N16 9HS</t>
  </si>
  <si>
    <t>http://www.mudrayogalondon.com/</t>
  </si>
  <si>
    <t>hello@mudrayogalondon.com</t>
  </si>
  <si>
    <t>https://www.facebook.com/mudrayogalondon</t>
  </si>
  <si>
    <t>Monday  7:15AM  -  9:00PM
Tuesday  7:15AM  -  9:00PM
Wednesday  7:15AM  -  9:00PM
Thursday  7:15AM  -  9:00PM
Friday  8:00AM  -  9:00PM
Saturday  8:00AM  -  7:00PM
Sunday  8:00AM  -  7:00PM</t>
  </si>
  <si>
    <t>The Life Centre Notting Hill</t>
  </si>
  <si>
    <t>The Life Centre and Evolve Wellness welcomes you to our Notting Hill centre. We offer yoga and pilates classes, holistic treatments, innovative workshops, courses and special events. Ideal if coming in from anywhere in Knightsbridge, Chelsea, South Kensington, Battersea, Belgravia, Mayfair, Bayswater, Holland Park, Shepherd's Bush, or Hammersmith.</t>
  </si>
  <si>
    <t>15 Edge St</t>
  </si>
  <si>
    <t>London W8 7PN</t>
  </si>
  <si>
    <t>https://thelifecentre.com/</t>
  </si>
  <si>
    <t>+44 20 7221 4602</t>
  </si>
  <si>
    <t>nottinghill@thelifecentre.com</t>
  </si>
  <si>
    <t>https://www.facebook.com/TheLifeCentreLondon/</t>
  </si>
  <si>
    <t>Monday  9:00AM  -  9:00PM
Tuesday  9:00AM  -  9:00PM
Wednesday  9:00AM  -  9:00PM
Thursday  9:00AM  -  9:00PM
Friday  9:00AM  -  8:00PM
Saturday  8:30AM  -  6:30PM
Sunday  8:30AM  -  6:30PM</t>
  </si>
  <si>
    <t>House of Hot Yoga</t>
  </si>
  <si>
    <t>https://www.houseofhotyoga.co.uk/</t>
  </si>
  <si>
    <t>+44 (0) 20 7812 1226</t>
  </si>
  <si>
    <t>info@houseofhotyoga.co.uk</t>
  </si>
  <si>
    <t>https://www.facebook.com/houseofhotyoga/</t>
  </si>
  <si>
    <t>Ten Health &amp; Fitness St James's</t>
  </si>
  <si>
    <t>One of Ten Health and Fitness' many centres across London, Ten's St James' Studio is easily reachable from Piccadilly Circus and Green Park.  Offering their signature Dynamic Reformer Pilates alongside HiiT, TRX, Vinyasa Flow Yoga, Personal Training, Physiotherapy and Massage, Ten offer a variety of workouts in a relaxed and welcoming setting. For enquiries at the St James's studio, call 020 7930 4442.</t>
  </si>
  <si>
    <t>Lower Ground</t>
  </si>
  <si>
    <t>London SW1Y 6BN</t>
  </si>
  <si>
    <t>https://www.ten.co.uk/</t>
  </si>
  <si>
    <t>+44 20 7930 4442</t>
  </si>
  <si>
    <t>team@ten.co.uk</t>
  </si>
  <si>
    <t>https://www.facebook.com/TenHealthFitness</t>
  </si>
  <si>
    <t>Monday  7:00AM  -  8:30PM
Tuesday  7:00AM  -  8:30PM
Wednesday  7:00AM  -  8:30PM
Thursday  7:00AM  -  8:30PM
Friday  7:00AM  -  7:30PM
Saturday  9:00AM  -  5:00PM
Sunday  Closed</t>
  </si>
  <si>
    <t>My Fitness Boutique</t>
  </si>
  <si>
    <t>My Fitness Boutique (MFB) is a facility with 5 fitness studio's based in West Hampstead, North West London, NW6.  MFB offers a wide range of fitness classes including; Barre, HIIT, Zumba, Yoga, Pilates, Spin, Pump, Strength &amp; Conditioning and Boxing.  Our team of friendly knowledgeable instructors also provide specialised personal training for small groups.  Give us a call to learn more about how our classes either online or in the studio.  We can help you achieve your fitness goals today!</t>
  </si>
  <si>
    <t>David's Deli</t>
  </si>
  <si>
    <t>London NW6 1TB</t>
  </si>
  <si>
    <t>+44 20 3503 0038</t>
  </si>
  <si>
    <t>https://www.facebook.com/myfitnessboutiquegeelong/?locale=zh_CN</t>
  </si>
  <si>
    <t>Monday  7:00AM  -  9:30PM
Tuesday  7:00AM  -  9:30PM
Wednesday  7:00AM  -  9:30PM
Thursday  7:00AM  -  9:30PM
Friday  7:00AM  -  9:30PM
Saturday  8:00AM  -  9:30PM
Sunday  8:00AM  -  9:30PM</t>
  </si>
  <si>
    <t>The Gym Group London Charing Cross</t>
  </si>
  <si>
    <t>The Gym Group London Charing Cross offers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</si>
  <si>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17-21 Northumberland Ave</t>
  </si>
  <si>
    <t>London WC2N 5EA</t>
  </si>
  <si>
    <t>https://www.thegymgroup.com/find-a-gym/north-london-gyms/charing-cross/</t>
  </si>
  <si>
    <t>+44 300 303 4800</t>
  </si>
  <si>
    <t>https://uk.linkedin.com/jobs/view/vp-of-cx-at-monta-3826690553</t>
  </si>
  <si>
    <t>Monday  6:00AM  -  10:00PM
Tuesday  6:00AM  -  10:00PM
Wednesday  6:00AM  -  10:00PM
Thursday  6:00AM  -  10:00PM
Friday  6:00AM  -  10:00PM
Saturday  10:00AM  -  5:00PM
Sunday  10:00AM  -  5:00PM</t>
  </si>
  <si>
    <t>Yoga with Olivia</t>
  </si>
  <si>
    <t>We offer group yoga classes around London. We can come to you (or host you at ours) for one-to-one or small group classes, and we can even come to your workplace. Olivia specialises in alignment based vinyasa flow yoga, in working with athletes to improve performance and with people recovering from illness and injury. If you'd like any more information visit the 'contact' page of our website and drop us a line!</t>
  </si>
  <si>
    <t>BGM Entertainment</t>
  </si>
  <si>
    <t>London EC1M 4NJ</t>
  </si>
  <si>
    <t>https://www.yogawitholivia.co.uk/</t>
  </si>
  <si>
    <t>yogawitholivia@hotmail.com</t>
  </si>
  <si>
    <t>https://www.facebook.com/oliviayogalondon/</t>
  </si>
  <si>
    <t>Monday  7:30AM  -  9:00PM
Tuesday  7:30AM  -  9:00PM
Wednesday  7:30AM  -  9:00PM
Thursday  7:30AM  -  9:00PM
Friday  7:30AM  -  5:00PM
Saturday  Closed
Sunday  Closed</t>
  </si>
  <si>
    <t>London Business School Fitness Centre</t>
  </si>
  <si>
    <t>Taunton Pl</t>
  </si>
  <si>
    <t>London NW1 6HB</t>
  </si>
  <si>
    <t>Service options: Has swimming pool · Has swimming pool</t>
  </si>
  <si>
    <t>https://www.london.edu/about/our-campuses/london</t>
  </si>
  <si>
    <t>+44 20 7000 7900</t>
  </si>
  <si>
    <t>https://m.facebook.com/p/London-Business-School-Fitness-Centre-100067726951545/</t>
  </si>
  <si>
    <t>Monday  5:00AM  -  12:00AM
Tuesday  5:00AM  -  12:00AM
Wednesday  5:00AM  -  12:00AM
Thursday  5:00AM  -  12:00AM
Friday  5:00AM  -  12:00AM
Saturday  5:00AM  -  12:00AM
Sunday  5:00AM  -  12:00AM</t>
  </si>
  <si>
    <t>Lumi Power Yoga</t>
  </si>
  <si>
    <t>121 King St</t>
  </si>
  <si>
    <t>London W6 9JG</t>
  </si>
  <si>
    <t>http://lumipoweryoga.com/</t>
  </si>
  <si>
    <t>+44 20 8846 8504</t>
  </si>
  <si>
    <t>info@lumipoweryoga.com</t>
  </si>
  <si>
    <t>https://m.facebook.com/lumipoweryoga/posts/5153783451379387/</t>
  </si>
  <si>
    <t>Monday  8:00AM  -  9:00PM
Tuesday  7:30AM  -  7:30PM
Wednesday  7:00AM  -  9:00PM
Thursday  7:30AM  -  7:30PM
Friday  8:00AM  -  7:30PM
Saturday  8:30AM  -  7:00PM
Sunday  8:30AM  -  7:30PM</t>
  </si>
  <si>
    <t>moov yoga</t>
  </si>
  <si>
    <t>https://l.facebook.com/l.php?u=http%3A%2F%2Fwww.moovyoga.co.uk%2F%3Ffbclid%3DIwAR0jTyNXpL68yj3McLLRSrz6XpiE428oMJVDBMtXK21tIkb6gXZG-MnH0qc&amp;h=AT0ZMOeK8FezMjFLMS3KerKG2JsHBwDW1Aad5TuPiJS6w8NySjbytcyc6vSGysvOqj68jlVRTTl1ETLmw550NSOD9Cz1gSuFHSGHeJyYcQI7GhVpYDzfrglwTxUUowp9vrSVkw</t>
  </si>
  <si>
    <t>+44 7773 297719</t>
  </si>
  <si>
    <t>info@moovyoga.co.uk</t>
  </si>
  <si>
    <t>https://www.facebook.com/MoovYoga/</t>
  </si>
  <si>
    <t>Ten Health &amp; Fitness Hatton Garden</t>
  </si>
  <si>
    <t>Ten Health and Fitness' Hatton Garden studio is a welcoming and contemporary space in the centre of London. Close to Farringdon and Chancery Lane tubes, it’s on the Clerkenwell borders, and is the perfect space for a retreat from the buzz of the city. Ten Hatton Garden offers a variety of classes and services, including Reformer Pilates, Prenatal Pilates, HiiT and Stretch, plus 1-1 training, Physiotherapy and Massage. Learn how to master better posture, form and control in your workouts in a relaxed and welcoming setting. Ten Health and Fitness have multiple studios across London. For enquiries in Hatton Garden, call 020 7404 8132.</t>
  </si>
  <si>
    <t>London EC1N 8EB</t>
  </si>
  <si>
    <t>https://www.ten.co.uk/?utm_source=google&amp;utm_medium=organic&amp;utm_campaign=gmb&amp;utm_term=hatton_garden</t>
  </si>
  <si>
    <t>+44 20 7404 8132</t>
  </si>
  <si>
    <t>Monday  7:00AM  -  8:00PM
Tuesday  7:00AM  -  8:00PM
Wednesday  7:00AM  -  8:00PM
Thursday  7:00AM  -  8:30PM
Friday  7:00AM  -  6:00PM
Saturday  9:00AM  -  4:00PM
Sunday  9:00AM  -  4:00PM</t>
  </si>
  <si>
    <t>Islington Yoga</t>
  </si>
  <si>
    <t>24-27 White Lion St</t>
  </si>
  <si>
    <t>London N1 9PD</t>
  </si>
  <si>
    <t>https://www.islingtonyoga.com/</t>
  </si>
  <si>
    <t>+44 20 8533 5553</t>
  </si>
  <si>
    <t>info@islingtonyoga.com</t>
  </si>
  <si>
    <t>https://www.facebook.com/IslingtonYoga/</t>
  </si>
  <si>
    <t>Monday  6:30PM  -  9  , 4:00AM
Tuesday  6:30PM  -  9  , 4:00AM
Wednesday  6:30PM  -  9  , 4:00AM
Thursday  6:30PM  -  9  , 4:00AM
Friday  6:30PM  -  9  , 4:00AM
Saturday  9:00PM  -  10 AM , 10:30PM
Sunday  Closed</t>
  </si>
  <si>
    <t>Yoga Union London</t>
  </si>
  <si>
    <t>East London's premier yoga studio, where we offer a harmonious blend of ambient, heated, and hot yoga classes. With class durations ranging from 60, 75, to 90 minutes, we provide a wide array of options to cater to your individual needs- including candle lit yin, heated vinyasa and inferno pilates. Whether you are a seasoned yogi or a beginner taking your first steps on the mat, our diverse range of classes will guide you on a transformative journey towards inner peace and physical well-being. Join to the Union.</t>
  </si>
  <si>
    <t>53 East Rd</t>
  </si>
  <si>
    <t>London N1 6AH</t>
  </si>
  <si>
    <t>https://yogaunionlondon.com/</t>
  </si>
  <si>
    <t>+44 20 7916 3985</t>
  </si>
  <si>
    <t>info@yogaunion.biz</t>
  </si>
  <si>
    <t>https://m.facebook.com/people/Yoga-Union-London/100095149331413/</t>
  </si>
  <si>
    <t>Monday  7:00AM  -  9:00PM
Tuesday  7:00AM  -  9:00PM
Wednesday  7:00AM  -  9:00PM
Thursday  7:00AM  -  9:00PM
Friday  7:00AM  -  9:00PM
Saturday  8:30AM  -  6:00PM
Sunday  9:00AM  -  7:30PM</t>
  </si>
  <si>
    <t>Gym On London</t>
  </si>
  <si>
    <t>FUNCTIONAL SPACE | CARDIO AREA | CABLE MACHINES | INDOOR &amp; OUTDOOR CLASSES | PERSONAL TRAINING | HEALTH CAFE | BEAUTY TREATMENTS  Set over two floors, we can offer:  Functional space Equipped with squat racks, Olympic lifting weights, sled pull, gymnastic rings and a lot more!  Cable machines Leg press, shoulder press, cable cross over and much more... for the days you are “less functional”.  Cardio space Treadmills, rowing machines, cross trainers and a selection of free weights – great space for warming up!  Indoor and outdoor classes Our instructors are all highly experienced. Check our class timetable to find out more.  Outdoor Boot Camp From spring to summer, join us to make the most of London summer and the River Thames view!</t>
  </si>
  <si>
    <t>2 Chatfield Rd</t>
  </si>
  <si>
    <t>London SW11 3SD</t>
  </si>
  <si>
    <t>INFO@GYMONLONDON.COM</t>
  </si>
  <si>
    <t>+44 20 8063 5939</t>
  </si>
  <si>
    <t xml:space="preserve">
Info@gymonlondon.com</t>
  </si>
  <si>
    <t>https://www.facebook.com/gymonlondon</t>
  </si>
  <si>
    <t>Monday  6:00AM  -  10:00PM
Tuesday  6:00AM  -  10:00PM
Wednesday  6:00AM  -  10:00PM
Thursday  6:00AM  -  10:00PM
Friday  6:00AM  -  10:00PM
Saturday  8:00AM  -  5:00PM
Sunday  8:00AM  -  5:00PM</t>
  </si>
  <si>
    <t>Third Space Soho</t>
  </si>
  <si>
    <t>15 years ago in the heart of Soho a different kind of health club was born – individual and committed to the outstanding. From some of London’s most energetic and vibrant streets, enter a sanctuary of total fitness – from hypoxic chamber to Natural Fitness Food, 75sqm of climbing wall to a suspended glass floor training area.</t>
  </si>
  <si>
    <t>67 Brewer St</t>
  </si>
  <si>
    <t>London W1F 9US</t>
  </si>
  <si>
    <t>https://www.thirdspace.london/soho</t>
  </si>
  <si>
    <t>+44 20 7439 6333</t>
  </si>
  <si>
    <t>contact@thirdspace.london</t>
  </si>
  <si>
    <t>https://uk.linkedin.com/in/john-penny-8450819</t>
  </si>
  <si>
    <t>https://m.facebook.com/profile.php?id=578492738983021</t>
  </si>
  <si>
    <t>Monday  6:00AM  -  10:00PM
Tuesday  6:00AM  -  10:00PM
Wednesday  6:00AM  -  10:00PM
Thursday  6:00AM  -  10:00PM
Friday  6:00AM  -  10:00PM
Saturday  8:00AM  -  8:00PM
Sunday  8:00AM  -  8:00PM</t>
  </si>
  <si>
    <t>triyoga Chelsea</t>
  </si>
  <si>
    <t>372 King's Rd</t>
  </si>
  <si>
    <t>London SW3 5UZ</t>
  </si>
  <si>
    <t>https://triyoga.co.uk/locations/triyoga-chelsea/?utm_source=gbp&amp;utm_medium=main_link&amp;utm_id=chelsea</t>
  </si>
  <si>
    <t>+44 20 3362 3366</t>
  </si>
  <si>
    <t>Monday  7:15AM  -  9:00PM
Tuesday  7:15AM  -  9:00PM
Wednesday  7:15AM  -  9:00PM
Thursday  7:15AM  -  9:00PM
Friday  7:15AM  -  8:45PM
Saturday  8:15AM  -  8:15PM
Sunday  7:45AM  -  8:30PM</t>
  </si>
  <si>
    <t>The Sporting Club</t>
  </si>
  <si>
    <t>https://thesportingclub.co/</t>
  </si>
  <si>
    <t>07710 124780</t>
  </si>
  <si>
    <t>info@thesportingclub.co</t>
  </si>
  <si>
    <t>https://www.facebook.com/thesportingc/</t>
  </si>
  <si>
    <t>Total Chi Yoga + Pilates</t>
  </si>
  <si>
    <t>241</t>
  </si>
  <si>
    <t>London NW1 6XE</t>
  </si>
  <si>
    <t>https://www.totalchi.com/</t>
  </si>
  <si>
    <t>+44 7888 087482</t>
  </si>
  <si>
    <t>hello@totalchi.com</t>
  </si>
  <si>
    <t>Monday  8:00AM  -  7:30PM
Tuesday  8:00AM  -  7:30PM
Wednesday  8:00AM  -  7:30PM
Thursday  8:00AM  -  7:30PM
Friday  8:00AM  -  7:30PM
Saturday  9:00AM  -  6:00PM
Sunday  9:00AM  -  4:00PM</t>
  </si>
  <si>
    <t>Intelligent Yoga Teacher Training (IYTT)</t>
  </si>
  <si>
    <t>Unique, life changing, London based yoga teacher training course.  IYTT offers an insightful approach to yoga, and was created to develop knowledgeable, responsive &amp; confident teachers who teach yoga based on a solid understanding of the fundamental workings of the body and an appreciation of its natural intelligence.  Described by some as radical and provocative, this approach to practice demands a fundamental shift in our practice and teaching. Delivered by an elite group of senior teachers at the top of their field, IYTT focuses on developing a clear understanding of the fundamentals of movement and anatomy, making it one of the most comprehensive groundings in anatomy of any teacher training diploma in the UK.</t>
  </si>
  <si>
    <t>The Light Centre</t>
  </si>
  <si>
    <t>London SW1W 9LX</t>
  </si>
  <si>
    <t>https://www.intelligentyogateachertraining.co.uk/</t>
  </si>
  <si>
    <t>+44 1643 851253</t>
  </si>
  <si>
    <t>catherine.annis@yahoo.co.uk</t>
  </si>
  <si>
    <t>https://www.facebook.com/ScaravelliYoga/</t>
  </si>
  <si>
    <t>Monday  9:00AM  -  6:30PM
Tuesday  9:00AM  -  6:30PM
Wednesday  9:00AM  -  6:30PM
Thursday  9:00AM  -  6:30PM
Friday  9:00AM  -  6:30PM
Saturday  9:00AM  -  6:30PM
Sunday  9:00AM  -  6:30PM</t>
  </si>
  <si>
    <t>Third Space Marylebone</t>
  </si>
  <si>
    <t>Third Space Marylebone is an urban sanctuary. The club features the latest gym facilities including functional training and Watt Bike areas, a recently redeveloped spa with 18m pool, saunas, steam room and luxury treatments, and a huge range of small group training classes.</t>
  </si>
  <si>
    <t>Bulstrode Pl</t>
  </si>
  <si>
    <t>London W1U 2HU</t>
  </si>
  <si>
    <t>https://www.bloklondon.com/</t>
  </si>
  <si>
    <t>+44 20 7042 6333</t>
  </si>
  <si>
    <t>https://m.facebook.com/profile.php?id=130416447528689</t>
  </si>
  <si>
    <t>BLOK Shoreditch</t>
  </si>
  <si>
    <t>BLOK is a fitness studio offering classes for all levels. We host 150 classes a week in a range of disciplines including barre, boxing, yoga, strength, HIIT, pilates, calisthenics, restorative, dance, and mobility.  Our Shoreditch location is just 6 minutes walk from Liverpool Street Station and includes three gym studios; a cafe, gallery area, and changing rooms with Malin &amp; Goetz products.</t>
  </si>
  <si>
    <t>Principal Place</t>
  </si>
  <si>
    <t>London EC2A 3BL</t>
  </si>
  <si>
    <t>+44 20 7247 8024</t>
  </si>
  <si>
    <t>https://m.facebook.com/people/BLOK-Shoreditch/100069748459284/</t>
  </si>
  <si>
    <t>Monday  6:00AM  -  9:00PM
Tuesday  6:00AM  -  9:00PM
Wednesday  6:00AM  -  9:00PM
Thursday  6:00AM  -  9:00PM
Friday  6:00AM  -  8:30PM
Saturday  8:00AM  -  4:30PM
Sunday  8:00AM  -  6:00PM</t>
  </si>
  <si>
    <t>The Gym Group London Waterloo</t>
  </si>
  <si>
    <t>The Gym Group London Waterloo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</si>
  <si>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195-203 Waterloo Rd</t>
  </si>
  <si>
    <t>London SE1 8UX</t>
  </si>
  <si>
    <t>https://www.thegymgroup.com/</t>
  </si>
  <si>
    <t>Corporate Yoga London - Creative Wellness</t>
  </si>
  <si>
    <t>International yoga, meditation, acupuncture and wellness coach Richard Brook heads a fantastic team offering corporate yoga and wellness in London, online and in person. Other services include Pilates, mindfulness, meditation, event &amp; conference yoga, on-site massage &amp; bespoke wellness workshops. We find the right teacher for your business, embracing the challenges that urban life brings and ultimately teach that what we do in our practice is also a metaphor for what we do in our life. Richard appreciates that our physiology, state of mind and our life choices – our work, relationships, diet &amp; home life – all contribute to our health and sees true success in managing all aspects of life. Richard also authors the Holistic Wellness Blog.</t>
  </si>
  <si>
    <t>London N5 1JT</t>
  </si>
  <si>
    <t>http://www.corporateyogalondon.co.uk/</t>
  </si>
  <si>
    <t>+44 7815 837679</t>
  </si>
  <si>
    <t>info@creativewellness.co.uk</t>
  </si>
  <si>
    <t>Monday  7:00AM  -  8:00PM
Tuesday  7:00AM  -  8:00PM
Wednesday  7:00AM  -  8:00PM
Thursday  7:00AM  -  8:00PM
Friday  7:00AM  -  8:00PM
Saturday  7:00AM  -  8:00PM
Sunday  7:00AM  -  8:00PM</t>
  </si>
  <si>
    <t>Shanti Wellness Center</t>
  </si>
  <si>
    <t>Shanti Wellness is a place where you can help work on the whole YOU, your mind, body and spirit. Our unique team approach focuses on you and your needs. Using proven techniques like yoga, meditation, massage therapy and psychological counseling we help you to be your best self!! Come see us today!!</t>
  </si>
  <si>
    <t>417 Ridge Rd suite d</t>
  </si>
  <si>
    <t>Munster</t>
  </si>
  <si>
    <t>IN 46321</t>
  </si>
  <si>
    <t>http://www.shantiwellnesscenter.com/</t>
  </si>
  <si>
    <t>(219) 777-9644</t>
  </si>
  <si>
    <t>info@shantiwellnesscenter.com</t>
  </si>
  <si>
    <t>https://www.facebook.com/coachshanti/</t>
  </si>
  <si>
    <t>Monday  9:00AM  -  8:30PM
Tuesday  9:00AM  -  8:30PM
Wednesday  9:00AM  -  8:30PM
Thursday  9:00AM  -  8:30PM
Friday  9:00AM  -  6:30PM
Saturday  8:30AM  -  5:00PM
Sunday  8:30AM  -  1:00PM</t>
  </si>
  <si>
    <t>The Gym Group London Bloomsbury</t>
  </si>
  <si>
    <t>The Gym Group London Bloomsbury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</si>
  <si>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4.1/5</t>
  </si>
  <si>
    <t>Coram St</t>
  </si>
  <si>
    <t>London WC1N 1HB</t>
  </si>
  <si>
    <t>The Gym Group London Angel</t>
  </si>
  <si>
    <t>The Gym Group London Angel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</si>
  <si>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265-269 Goswell Rd.</t>
  </si>
  <si>
    <t>London EC1V 7AH</t>
  </si>
  <si>
    <t>https://m.facebook.com/p/The-Gym-Group-London-Angel-100069178706525/</t>
  </si>
  <si>
    <t>House of Fitness London</t>
  </si>
  <si>
    <t>We are a boutique strength &amp; conditioning facility that caters to all fitness levels &amp; age groups.  Our results-based approach takes all the guesswork away by giving you everything you need to improve the way you look, feel, and perform.  Get started with our 6-week foundation program today</t>
  </si>
  <si>
    <t>32 Featherstone St</t>
  </si>
  <si>
    <t>London EC1Y 8AE</t>
  </si>
  <si>
    <t>http://houseoffitness.co/</t>
  </si>
  <si>
    <t>+44 7700 145771</t>
  </si>
  <si>
    <t>grido@mail.com</t>
  </si>
  <si>
    <t>https://www.linkedin.com/posts/carlkalapesi_peoplefirst-activity-7034215359133966336-mVjf</t>
  </si>
  <si>
    <t>https://www.facebook.com/HOF.EC1Y</t>
  </si>
  <si>
    <t>Monday  6:00AM  -  8:30PM
Tuesday  6:00AM  -  8:30PM
Wednesday  6:00AM  -  8:30PM
Thursday  6:00AM  -  8:30PM
Friday  6:00AM  -  8:30PM
Saturday  8:00AM  -  1:00AM
Sunday  Closed</t>
  </si>
  <si>
    <t>The London Fit Club</t>
  </si>
  <si>
    <t>We are not a gym.  We are a Medical and Health facility that provides injury rehabilitation, body transformation programmes and health food made to order. We work with the general population, athletes and anyone who is seeking change.  We offer: Osteopathy Physiotherapy Sports Injury Clinic. 1-2-1 Coaching. Performance Testing and Analysis.  Body Composition and Optimal Internal Health programming, food preparation and delivery service.  Remedial &amp; Sports Massage. Spinal rehabilitation &amp; Manual Therapy.</t>
  </si>
  <si>
    <t>Unit P</t>
  </si>
  <si>
    <t>London SE8 5FA</t>
  </si>
  <si>
    <t>+44 20 3606 0560</t>
  </si>
  <si>
    <t>info@ldnfitclub.co.uk</t>
  </si>
  <si>
    <t>https://www.google.com/search?sca_esv=e5f41394e90ae851&amp;q=When+was+LinkedIn+created%3F&amp;sa=X&amp;ved=2ahUKEwiL-viqkrWEAxWkLzQIHduZCrIQsZYEegQIGRAC</t>
  </si>
  <si>
    <t>https://www.facebook.com/thelondonfitclub/</t>
  </si>
  <si>
    <t>Monday  7:00AM  -  9:00PM
Tuesday  7:00AM  -  9:00PM
Wednesday  7:00AM  -  9:00PM
Thursday  7:00AM  -  9:00PM
Friday  7:00AM  -  9:00PM
Saturday  9:00AM  -  7:00PM
Sunday  9:00AM  -  7:00PM</t>
  </si>
  <si>
    <t>Clerkenwellbeing</t>
  </si>
  <si>
    <t>Studio Space Rental Treatment Room Hire Therapies Acupuncture Chinese Medicine Chiropractic Theraputic Massage Sports Massage Pregnancy Massage MFR Reflexology Reiki Podiatry/Chiropody Functional Medicine Hypnotherapy Psychotherapy Nutritionists Pilates One to One Yoga Small Yoga Classes</t>
  </si>
  <si>
    <t>178 Goswell Rd.</t>
  </si>
  <si>
    <t>London EC1V 7DT</t>
  </si>
  <si>
    <t>+44 20 7566 6346</t>
  </si>
  <si>
    <t>Monday  8:00AM  -  7:00PM
Tuesday  8:00AM  -  7:00PM
Wednesday  8:00AM  -  7:00PM
Thursday  8:00AM  -  7:00PM
Friday  8:00AM  -  7:00PM
Saturday  9:00AM  -  2:00PM
Sunday  Closed</t>
  </si>
  <si>
    <t>The Gym Group London Oxford Street</t>
  </si>
  <si>
    <t>The Gym Group London Oxford Street is open from 6am until 11pm everyday of the week,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</si>
  <si>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Entrance on</t>
  </si>
  <si>
    <t>Jubilee Hall Gym</t>
  </si>
  <si>
    <t>https://www.linkedin.com/posts/rishan-wanniarachchi-7684ba15_slim-marketing-communication-activity-6993450792611430400-lgG5</t>
  </si>
  <si>
    <t>https://www.facebook.com/JubileeHallGym/#:~:text=%2D%20email%20louise%40jubileehalltrust.org%20to%20register%20a%20group&amp;text=It%20would%20be%20great%20for,competition%20never%20hurt%20anyone!)</t>
  </si>
  <si>
    <t>Nordic Balance St James's | Gym &amp; Physiotherapy</t>
  </si>
  <si>
    <t>Welcome to Nordic Balance Gym &amp; Physiotherapy, centrally located in St. James's, London, within the prestigious Naval In &amp; Out Club. Serving Mayfair and Westminster, we're just a short walk from Piccadilly. Discover a comprehensive fitness experience with a fully-equipped gym, swimming pool, spa, and squash court. Our services include Gym, Personal Training, Sauna, Swimming Pool, Squash Courts, Physiotherapy, Osteopathy, Chiropractic, Podiatry, Sports Massage, and Shockwave Therapy. Enjoy extended hours from 6.30 am to 11 pm, seven days a week. Find us at 7-9 Babmaes Street, off Jermyn Street, for a quieter, comfortable workout, even during peak times. Your path to well-being starts here!</t>
  </si>
  <si>
    <t>7-9 Babmaes St</t>
  </si>
  <si>
    <t>+44 20 7827 5735</t>
  </si>
  <si>
    <t>https://uk.linkedin.com/showcase/nordic-balance-st-james's-london/</t>
  </si>
  <si>
    <t>Monday  6:30AM  -  11:00PM
Tuesday  6:30AM  -  11:00PM
Wednesday  6:30AM  -  11:00PM
Thursday  6:30AM  -  11:00PM
Friday  6:30AM  -  11:00PM
Saturday  6:30AM  -  11:00PM
Sunday  6:30AM  -  11:00PM</t>
  </si>
  <si>
    <t>Ashtanga Yoga Covent Garden, London, UK</t>
  </si>
  <si>
    <t>14 Neal's Yard</t>
  </si>
  <si>
    <t>London WC2H 9DP</t>
  </si>
  <si>
    <t>http://www.findthebalance.co.uk/</t>
  </si>
  <si>
    <t>+44 7765 013059</t>
  </si>
  <si>
    <t>info@findthebalance.co.uk</t>
  </si>
  <si>
    <t>Monday  6:30PM  -  8:45AM
Tuesday  6:30PM  -  8:45AM
Wednesday  6:30PM  -  8:45AM
Thursday  6:30PM  -  8:45AM
Friday  6:30PM  -  8:45AM
Saturday  Closed
Sunday  Closed</t>
  </si>
  <si>
    <t>The Lotus School of Yoga</t>
  </si>
  <si>
    <t>76 New Bridge St</t>
  </si>
  <si>
    <t>London EC4Y 8DU</t>
  </si>
  <si>
    <t>+44 7787 987603</t>
  </si>
  <si>
    <t>https://www.facebook.com/TheLotusSchoolOfYoga/#:~:text=thelotusschoolofyoga%40gmail.com%20for%20the%20zoom%20code.</t>
  </si>
  <si>
    <t>Monday  8:00AM  -  7:30PM
Tuesday  8:00AM  -  7:30PM
Wednesday  8:00AM  -  7:30PM
Thursday  8:00AM  -  7:30PM
Friday  8:00AM  -  7:30PM
Saturday  8:00AM  -  7:30PM
Sunday  Closed</t>
  </si>
  <si>
    <t>The Gym Group London Manor House</t>
  </si>
  <si>
    <t>The Gym Group London Manor House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</si>
  <si>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3.3/5</t>
  </si>
  <si>
    <t>Manor House</t>
  </si>
  <si>
    <t>London N4 2TG</t>
  </si>
  <si>
    <t>FRAME Victoria</t>
  </si>
  <si>
    <t>Frame are on a mission to get more people moving their bodies in a way that makes them feel great. We're known for our huge variety of feel-good, energetic and fun-filled classes, including Dance, Barre, Lift, Kettlebells, Rebounding &amp; Reformer Pilates. Just a hop, skip and a jump from Victoria Station, Frame Victoria has 3 vibey studios jam-packed with awesome classes morning, noon and night.</t>
  </si>
  <si>
    <t>4 Bridge Pl</t>
  </si>
  <si>
    <t>London SW1V 1AF</t>
  </si>
  <si>
    <t>+44 20 7834 6682</t>
  </si>
  <si>
    <t>Monday  6:30AM  -  8:30PM
Tuesday  6:30AM  -  8:30PM
Wednesday  6:30AM  -  8:30PM
Thursday  6:30AM  -  8:30PM
Friday  6:30AM  -  8:30PM
Saturday  8:00AM  -  4:00PM
Sunday  8:00AM  -  5:30PM</t>
  </si>
  <si>
    <t>triyoga Shoreditch</t>
  </si>
  <si>
    <t>10 Cygnet St</t>
  </si>
  <si>
    <t>London E1 6GW</t>
  </si>
  <si>
    <t>+44 20 3362 0677</t>
  </si>
  <si>
    <t>Monday  6:45AM  -  9:00PM
Tuesday  6:45AM  -  9:00PM
Wednesday  6:45AM  -  9:00PM
Thursday  6:45AM  -  9:00PM
Friday  6:45AM  -  8:00PM
Saturday  8:45AM  -  5:15PM
Sunday  9:00AM  -  7:30PM</t>
  </si>
  <si>
    <t>The Gym Group London Vauxhall</t>
  </si>
  <si>
    <t>The Gym Group London Vauxhall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</si>
  <si>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6A Wandsworth Rd</t>
  </si>
  <si>
    <t>London SW8 2LE</t>
  </si>
  <si>
    <t>https://www.linkedin.com/pub/dir/Nick/Robinson</t>
  </si>
  <si>
    <t>Hotpod Yoga Belgravia</t>
  </si>
  <si>
    <t>19 Eccleston Yards</t>
  </si>
  <si>
    <t>London SW1W 9AZ</t>
  </si>
  <si>
    <t>+44 7517 066841</t>
  </si>
  <si>
    <t>Monday  5:45AM  -  9:30PM
Tuesday  5:45AM  -  9:30PM
Wednesday  5:45AM  -  9:30PM
Thursday  5:45AM  -  9:30PM
Friday  5:45AM  -  8:00PM
Saturday  7:00AM  -  8:00PM
Sunday  8:00AM  -  8:00PM</t>
  </si>
  <si>
    <t>Flo Yoga Studio</t>
  </si>
  <si>
    <t>https://www.linkedin.com/in/edward-a-0493387</t>
  </si>
  <si>
    <t>https://www.facebook.com/floyogawesthampstead/</t>
  </si>
  <si>
    <t>Yoga Pilates London</t>
  </si>
  <si>
    <t>https://uk.linkedin.com/jobs/google-vice-president-jobs-london-england-metropolitan-area</t>
  </si>
  <si>
    <t>CYoga</t>
  </si>
  <si>
    <t>https://www.linkedin.com/jobs/senior-vice-president-jobs-cleveland-ohio?trk=pprof-jserp</t>
  </si>
  <si>
    <t>The Gym Group London Monument</t>
  </si>
  <si>
    <t>The Gym Group London Monument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</si>
  <si>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10 Lower Thames St</t>
  </si>
  <si>
    <t>The Gym Group London Holborn Circus</t>
  </si>
  <si>
    <t>The Gym Group London Holborn Circus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</si>
  <si>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3.9/5</t>
  </si>
  <si>
    <t>1 Thavies Inn</t>
  </si>
  <si>
    <t>London EC4A 1AN</t>
  </si>
  <si>
    <t>Fitness Lab</t>
  </si>
  <si>
    <t>https://www.facebook.com/p/The-Fitness-Lab-100063719215473/</t>
  </si>
  <si>
    <t>Bikram Yoga London Bridge - Original Hot Yoga</t>
  </si>
  <si>
    <t>BarePaws Yoga Ltd</t>
  </si>
  <si>
    <t>4 Browning St</t>
  </si>
  <si>
    <t>+44 7762 815977</t>
  </si>
  <si>
    <t>Monday  Closed
Tuesday  9:00AM  -  9:00PM
Wednesday  6:00PM  -  9:00PM
Thursday  Closed
Friday  9:00AM  -  9:00PM
Saturday  12:00PM  -  3:30PM
Sunday  12:00PM  -  3:30PM</t>
  </si>
  <si>
    <t>Puppy Yoga London</t>
  </si>
  <si>
    <t>At Puppy Yoga London, we aim to combine the physical benefits of a typical yoga class enhanced with the serotonin boost from puppy interaction. Our experienced instructors lead classes suitable for all levels, designed to promote relaxation, flexibility, and mental well-being. We are passionate about the mental health benefits that animals can provide to help with stress and anxiety and every class gets our pups ready for their new homes. Choose between puppy yoga or therapy sessions for a one-of-a-kind experience that combines the benefits of yoga with the joy of puppy love. Book a class today and let the puppy love flow</t>
  </si>
  <si>
    <t>42 Hoxton Square</t>
  </si>
  <si>
    <t>London N1 6PB</t>
  </si>
  <si>
    <t>https://www.puppy-yoga.co.uk/</t>
  </si>
  <si>
    <t>info@puppy-yoga.co.uk</t>
  </si>
  <si>
    <t>Monday  Closed
Tuesday  Closed
Wednesday Closed
Thursday  Closed
Friday  Closed
Saturday  10:00AM  -  7:00PM
Sunday  10:00AM  -  7:00PM</t>
  </si>
  <si>
    <t>Nuffield Health Covent Garden Fitness and Wellbeing Gym</t>
  </si>
  <si>
    <t>9 Endell St</t>
  </si>
  <si>
    <t>London WC2H 9SA</t>
  </si>
  <si>
    <t>+44 20 7240 2446</t>
  </si>
  <si>
    <t>https://uk.linkedin.com/jobs/view/duty-manager-at-nuffield-health-3830632254</t>
  </si>
  <si>
    <t>Monday  7:00AM  -  10:00PM
Tuesday  7:00AM  -  10:00PM
Wednesday  7:00AM  -  10:00PM
Thursday  7:00AM  -  10:00PM
Friday  7:00AM  -  9:00PM
Saturday  10:00AM  -  6:00PM
Sunday  10:00AM  -  6:00PM</t>
  </si>
  <si>
    <t>The Hidden Gym</t>
  </si>
  <si>
    <t>London N1 7DF</t>
  </si>
  <si>
    <t>https://www.facebook.com/thehiddengymwoodford/</t>
  </si>
  <si>
    <t>Pups Yoga</t>
  </si>
  <si>
    <t>St Paul St</t>
  </si>
  <si>
    <t>https://www.pupsyoga.co.uk/</t>
  </si>
  <si>
    <t>support@pupsyoga.co.uk</t>
  </si>
  <si>
    <t>The Gym Group London Paddington</t>
  </si>
  <si>
    <t>The Gym Group London Paddington is now open,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</si>
  <si>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33 N Wharf Rd</t>
  </si>
  <si>
    <t>London W2 1LA</t>
  </si>
  <si>
    <t>Anytime Fitness</t>
  </si>
  <si>
    <t>https://www.facebook.com/anytimefitness/</t>
  </si>
  <si>
    <t>URBANFITNESS</t>
  </si>
  <si>
    <t>https://www.linkedin.com/pub/dir/Richie/Doran</t>
  </si>
  <si>
    <t>The Gym Group London West Hampstead</t>
  </si>
  <si>
    <t>The Gym Group London West Hampstead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</si>
  <si>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Unit D2</t>
  </si>
  <si>
    <t>Private Yoga London | Lessons with Alonso Seixas</t>
  </si>
  <si>
    <t>Do you want to practice yoga but suffer from chronic conditions or impaired mobility that make regular mat classes too difficult? Or do you simply have an active lifestyle and keen interest in staying fit and healthy as you age?  I can help! I've been guiding people on their personal yoga journeys for 11 years. I offer private lessons completely tailored to your needs, interests and goals making it possible to counteract the effects of a sedentary lifestyle and reduce the risk of injury. I'm a fully certified and insured Level 4 BWY teacher based in Maida Vale and I will be glad to create a personalized program for you with progress at your own pace, taking into account your fitness level and physical limitations.</t>
  </si>
  <si>
    <t>Ground Floor Flat</t>
  </si>
  <si>
    <t>London W9 2HF</t>
  </si>
  <si>
    <t>http://privateyoga.london/</t>
  </si>
  <si>
    <t>+44 7962 147405</t>
  </si>
  <si>
    <t>Monday  6:30AM  -  8:30PM
Tuesday  6:30AM  -  8:30PM
Wednesday  6:30AM  -  8:30PM
Thursday  6:30AM  -  8:30PM
Friday  6:30AM  -  8:30PM
Saturday  6:30AM  -  8:30PM
Sunday  Closed</t>
  </si>
  <si>
    <t>The Iron Club</t>
  </si>
  <si>
    <t>https://www.linkedin.com/in/charleslane1#:~:text=Charles%20Lane%20%2D%20Senior%20Vice%20President,Officer%20%2D%20University%20of%20Florida%20%7C%20LinkedIn</t>
  </si>
  <si>
    <t>The Gym Group London Caledonian Road</t>
  </si>
  <si>
    <t>The Gym Group London Caledonian Road is open 7 days a week,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</si>
  <si>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7 Sterling Wy.</t>
  </si>
  <si>
    <t>London N7 9HJ</t>
  </si>
  <si>
    <t>The Gym Group London Stepney Green</t>
  </si>
  <si>
    <t>The Gym Group London Stepney Green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</si>
  <si>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Wickham House</t>
  </si>
  <si>
    <t>London E1 4TT</t>
  </si>
  <si>
    <t>https://www.linkedin.com/pub/dir/GEE/+/gb-0-United-Kingdom/</t>
  </si>
  <si>
    <t>Uk Fitness Club</t>
  </si>
  <si>
    <t>https://uk.linkedin.com/jobs/fitness-executive-jobs-london-england-metropolitan-area</t>
  </si>
  <si>
    <t>The Gym Way</t>
  </si>
  <si>
    <t>https://www.facebook.com/madeinthegymway/#:~:text=Contact%20us%20today%20at%20getfit,business%20to%20new%20heights%20together.</t>
  </si>
  <si>
    <t>The Gym Lounge</t>
  </si>
  <si>
    <t>Experience an empowering community atmosphere at our gym. Take advantage of a diverse range of workout classes, personal training sessions, and top-notch gym facilities. Enhance your workout experience by becoming part of our active and supportive fitness community.</t>
  </si>
  <si>
    <t>E3</t>
  </si>
  <si>
    <t>London E3 3PN</t>
  </si>
  <si>
    <t>+44 7543 831125</t>
  </si>
  <si>
    <t>https://www.linkedin.com/jobs/view/vice-president-of-field-operations-at-eos-fitness-3831656846</t>
  </si>
  <si>
    <t>https://www.facebook.com/TGLSmallfield/</t>
  </si>
  <si>
    <t>Monday  6:30AM  -  10:00PM
Tuesday  6:30AM  -  10:00PM
Wednesday  6:30AM  -  10:00PM
Thursday  6:30AM  -  10:00PM
Friday  6:30AM  -  8:00PM
Saturday  8:00AM  -  4:00PM
Sunday  8:00AM  -  4:00PM</t>
  </si>
  <si>
    <t>Psycle Oxford Circus</t>
  </si>
  <si>
    <t>Indoor cycling in London, England</t>
  </si>
  <si>
    <t>76 Mortimer St</t>
  </si>
  <si>
    <t>London W1W 7SA</t>
  </si>
  <si>
    <t>http://www.psyclelondon.com/</t>
  </si>
  <si>
    <t>+44 20 3150 2644</t>
  </si>
  <si>
    <t>memberships@psyclelondon.com</t>
  </si>
  <si>
    <t>https://uk.linkedin.com/pub/dir/+/Steadman/gb-4573-London,-United-Kingdom</t>
  </si>
  <si>
    <t>Monday  6:00AM  -  2:30 , 4PM
Tuesday  6:00AM  -  2:30 , 4PM
Wednesday  6:00AM  -  2:30 , 4PM
Thursday  6:00AM  -  2:30 , 4PM
Friday  6:30AM  -  2:30 , 4PM
Saturday  7:30AM  -  4:30PM
Sunday  8:30AM  -  5:00PM</t>
  </si>
  <si>
    <t>Gymbox Farringdon</t>
  </si>
  <si>
    <t>Say hello to Gymbox Farringdon: the underground playground where training is never a chore. With sleek studios, spin bikes, combat zones, huge free weights areas and all the sweaty fun and games you could hope for, our largest gym makes sure working out is just as fun as going out.</t>
  </si>
  <si>
    <t>12a Leather Ln</t>
  </si>
  <si>
    <t>London EC1N 7SS</t>
  </si>
  <si>
    <t>+44 20 3872 5870</t>
  </si>
  <si>
    <t>https://uk.linkedin.com/jobs/group-exercise-instructor-jobs-threshers-bush</t>
  </si>
  <si>
    <t>https://m.facebook.com/profile.php?id=138796926791734</t>
  </si>
  <si>
    <t>Monday  6:00AM  -  11:00PM
Tuesday  6:00AM  -  11:00PM
Wednesday  6:00AM  -  11:00PM
Thursday  6:00AM  -  11:00PM
Friday  6:00AM  -  11:00PM
Saturday  9:00AM  -  5:00PM
Sunday  9:00AM  -  5:00PM</t>
  </si>
  <si>
    <t>Aquilla Health &amp; Fitness Club</t>
  </si>
  <si>
    <t>The Rembrandt Hotel</t>
  </si>
  <si>
    <t>London SW7 2RS</t>
  </si>
  <si>
    <t>+44 20 7225 0225</t>
  </si>
  <si>
    <t>https://www.linkedin.com/company/aquila-ltd--health-&amp;-fitness-solutions/jobs</t>
  </si>
  <si>
    <t>Monday  6:30AM  -  9:00PM
Tuesday  6:30AM  -  9:00PM
Wednesday  6:30AM  -  9:00PM
Thursday  6:30AM  -  9:00PM
Friday  6:30AM  -  9:00PM
Saturday  8:00AM  -  8:00PM
Sunday  8:00AM  -  8:00PM</t>
  </si>
  <si>
    <t>Nuffield Health City Fitness &amp; Wellbeing Gym</t>
  </si>
  <si>
    <t>4 Cousin Ln</t>
  </si>
  <si>
    <t>London EC4R 3XJ</t>
  </si>
  <si>
    <t>+44 20 7283 0101</t>
  </si>
  <si>
    <t>https://uk.linkedin.com/jobs/view/wellbeing-personal-trainer-at-nuffield-health-3827697799</t>
  </si>
  <si>
    <t>Monday  6:30AM  -  10:00PM
Tuesday  6:30AM  -  10:00PM
Wednesday  6:30AM  -  10:00PM
Thursday  6:30AM  -  10:00PM
Friday  6:30AM  -  9:00PM
Saturday  10:00AM  -  6:00PM
Sunday  10:00AM  -  6:00PM</t>
  </si>
  <si>
    <t>BXR</t>
  </si>
  <si>
    <t>BXR London, the world’s first high-end boxing gym, launched in January 2017, in Marylebone, London, W1. Dedicated to developing a championship mindset, we offer our members the standard of training, facilities and advice expected by professional athletes, regardless of level of ability.</t>
  </si>
  <si>
    <t>24 Paddington St</t>
  </si>
  <si>
    <t>London W1U 5QY</t>
  </si>
  <si>
    <t>http://bxrlondon.com/</t>
  </si>
  <si>
    <t>+44 20 3146 3436</t>
  </si>
  <si>
    <t>membership@bxrlondon.com</t>
  </si>
  <si>
    <t>https://www.facebook.com/102.3BXR/</t>
  </si>
  <si>
    <t>Monday  6:15AM  -  10:00PM
Tuesday  6:15AM  -  10:00PM
Wednesday  6:15AM  -  10:00PM
Thursday  6:15AM  -  10:00PM
Friday  6:15AM  -  10:00PM
Saturday  8:00AM  -  8:00PM
Sunday  8:00AM  -  6:00PM</t>
  </si>
  <si>
    <t>The Gym Group London Fulham</t>
  </si>
  <si>
    <t>The Gym Group London Fulham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</si>
  <si>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254-258 North End Rd</t>
  </si>
  <si>
    <t>London SW6 1NJ</t>
  </si>
  <si>
    <t>PureGym London Waterloo</t>
  </si>
  <si>
    <t>Get way more than you pay for at PureGym London Waterloo! Open 24/7, we offer a range of low cost, no contract memberships and over 220+ pieces of high quality gym kit - and fitness classes are included in your membership! Whether you prefer cardio, strength training, classes, or more, we have everything you need to keep fit. Need help achieving your fitness goals? Our friendly team of Personal Trainers can help.</t>
  </si>
  <si>
    <t>11-15 Brad St</t>
  </si>
  <si>
    <t>London SE1 8TG</t>
  </si>
  <si>
    <t>+44 344 477 0005</t>
  </si>
  <si>
    <t>https://www.linkedin.com/company/pure-gym/life</t>
  </si>
  <si>
    <t>https://www.facebook.com/puregymwaterloo/</t>
  </si>
  <si>
    <t>The University of Westminster Regent Street Gym</t>
  </si>
  <si>
    <t>3.8/5</t>
  </si>
  <si>
    <t>309 Regent St.</t>
  </si>
  <si>
    <t>London W1B 2HW</t>
  </si>
  <si>
    <t>+44 20 7911 5892</t>
  </si>
  <si>
    <t>Monday  7:00AM  -  9:00PM
Tuesday  7:00AM  -  9:00PM
Wednesday  7:00AM  -  9:00PM
Thursday  7:00AM  -  9:00PM
Friday  7:00AM  -  7:30PM
Saturday  Closed
Sunday  Closed</t>
  </si>
  <si>
    <t>Globe House Yoga</t>
  </si>
  <si>
    <t>The Tanneries</t>
  </si>
  <si>
    <t>London SE1 3XL</t>
  </si>
  <si>
    <t>http://www.globehouse.org/</t>
  </si>
  <si>
    <t>+44 20 7378 1177</t>
  </si>
  <si>
    <t>yoga@globehouse.org</t>
  </si>
  <si>
    <t>https://www.facebook.com/globehouseyoga/#:~:text=Bookings,WhatsApp%3A%200044%207876%20684%20812</t>
  </si>
  <si>
    <t>The Gym Group London Stockwell</t>
  </si>
  <si>
    <t>The Gym Group London Stockwell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</si>
  <si>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15 Lett Rd</t>
  </si>
  <si>
    <t>London SW9 0AF</t>
  </si>
  <si>
    <t>https://www.linkedin.com/pub/dir/Brett/Kennedy</t>
  </si>
  <si>
    <t>Foundry Gym - Bank</t>
  </si>
  <si>
    <t>Foundry is a gym designed for anyone who wants to work out in an environment free from egos, posers or pressure.  Leading the way in small-group personal training, it’s a friendly community of like-minded people who improve together and support each other. And it’s a revelation for anyone looking for a different fitness journey.  With no judgement and no numbers to hit, you can just turn up and work out. And you never have to do it on your own. Your own gym crew and a dedicated team of personal trainers are always on hand to motivate you, celebrate your achievements and stop everyday training from becoming a chore.  Less than 5 minutes walk from Bank or Monument stations it’s the perfect location before, during or after work hours.</t>
  </si>
  <si>
    <t>33</t>
  </si>
  <si>
    <t>London EC3V 9BQ</t>
  </si>
  <si>
    <t>+44 20 7929 4345</t>
  </si>
  <si>
    <t>Monday  6:00AM  -  8:30PM
Tuesday  6:00AM  -  8:30PM
Wednesday  6:00AM  -  8:30PM
Thursday  6:00AM  -  8:30PM
Friday  6:00AM  -  7:30PM
Saturday  8:00AM  -  1:00PM
Sunday  10:00AM  -  1:00PM</t>
  </si>
  <si>
    <t>Nuffield Health Bloomsbury Fitness &amp; Wellbeing Gym</t>
  </si>
  <si>
    <t>4.4/5</t>
  </si>
  <si>
    <t>Mecklenburgh Pl</t>
  </si>
  <si>
    <t>London WC1N 2AY</t>
  </si>
  <si>
    <t>+44 20 7713 8810</t>
  </si>
  <si>
    <t>https://uk.linkedin.com/jobs/view/duty-manager-at-nuffield-health-3778544095</t>
  </si>
  <si>
    <t>Monday  6:30AM  -  10:00PM
Tuesday  6:30AM  -  10:00PM
Wednesday  6:30AM  -  10:00PM
Thursday  6:30AM  -  10:00PM
Friday  6:30AM  -  9:00PM
Saturday  9:00AM  -  7:00PM
Sunday  9:00AM  -  7:00PM</t>
  </si>
  <si>
    <t>Central YMCA at KX</t>
  </si>
  <si>
    <t>120 Cromer St</t>
  </si>
  <si>
    <t>London WC1H 8BS</t>
  </si>
  <si>
    <t>+44 20 3817 9919</t>
  </si>
  <si>
    <t>https://www.linkedin.com/jobs/partner-senior-manager-jobs</t>
  </si>
  <si>
    <t>Monday  9:00AM  -  9:00PM
Tuesday  9:00AM  -  9:00PM
Wednesday  9:00AM  -  9:00PM
Thursday  9:00AM  -  9:00PM
Friday  9:00AM  -  5:00PM
Saturday  9:00AM  -  5:00PM
Sunday  9:00AM  -  5:00PM</t>
  </si>
  <si>
    <t>PureGym London Great Portland Street</t>
  </si>
  <si>
    <t>Get way more than you pay for at PureGym London Great Portland Street, the UK's favourite gym! We offer a range of low cost, no contract memberships and over 220+ pieces of high quality gym kit - and fitness classes are included in your membership! Whether you prefer cardio, strength training, classes, or more, we have everything you need to keep fit. Need help achieving your fitness goals? Our friendly team of Personal Trainers can help.</t>
  </si>
  <si>
    <t>Off Cavendish Mews N</t>
  </si>
  <si>
    <t>London W1W 6LA</t>
  </si>
  <si>
    <t>https://www.facebook.com/p/PureGym-London-Great-Portland-Street-100063737153415/</t>
  </si>
  <si>
    <t>Monday  6:30AM  -  10:00PM
Tuesday  6:30AM  -  10:00PM
Wednesday  6:30AM  -  10:00PM
Thursday  6:30AM  -  10:00PM
Friday  6:30AM  -  10:00PM
Saturday  8:00AM  -  8:00PM
Sunday  8:00AM  -  8:00PM</t>
  </si>
  <si>
    <t>Barrecore Mayfair</t>
  </si>
  <si>
    <t>Our unique Barrecore Method is recognized as one of the fastest, safest, and most effective body transformation exercises, and has been publicly endorsed by some of the world's biggest celebrities and influencers including Claudia Schiffer, Pippa Middleton, Rita Ora, and Poppy Delevingne.  We have 12 boutique studios across the UK, and online workouts accessed by Barrecore fans in over 100 countries.  Our classes contain elements of ballet, yoga, and pilates - but are as tough as a spinning or boot camp session. Our high intensity but low impact way of working your body means that we have clients of all ages, genders, fitness levels, and shapes - even clients who are injured, prenatal, and postnatal.</t>
  </si>
  <si>
    <t>Lower Ground Floor</t>
  </si>
  <si>
    <t>London W1G 0PD</t>
  </si>
  <si>
    <t>+44 20 7637 8458</t>
  </si>
  <si>
    <t>https://www.linkedin.com/jobs/director-operations-management-jobs</t>
  </si>
  <si>
    <t>https://m.facebook.com/820851464598342/#:~:text=Email%20leeds%40barrecore.co.uk%20to%20learn%20more!!</t>
  </si>
  <si>
    <t>Monday  7:00AM  -  8:30PM
Tuesday  7:00AM  -  8:30PM
Wednesday  7:00AM  -  8:30PM
Thursday  7:00AM  -  8:30PM
Friday  7:00AM  -  7:30PM
Saturday  9:00AM  -  3:00PM
Sunday  9:30AM  -  1:30PM</t>
  </si>
  <si>
    <t>Hannah Maher Yoga</t>
  </si>
  <si>
    <t>South London yoga classes hosted at Elephant Park in central London.  Our small classes are designed to foster a sense of community and connection. Whether you're new to yoga or an experienced practitioner, you're welcome to join.  The focus is on the practical aspects of yoga, helping you to connect with your body and breath. I'm on a mission to show people that Yoga is for everyone, regardless of age, ability, or experience level.</t>
  </si>
  <si>
    <t>Elephant Rd</t>
  </si>
  <si>
    <t>London SE17 1HL</t>
  </si>
  <si>
    <t>+44 7514 745936</t>
  </si>
  <si>
    <t>https://www.linkedin.com/in/hannah-maher-0392a0168</t>
  </si>
  <si>
    <t>Monday  6:30AM  -  9:00PM
Tuesday  6:30AM  -  9:00PM
Wednesday  6:30AM  -  9:00PM
Thursday  6:00AM  -  9:00PM
Friday  6:30AM  -  7:00PM
Saturday  6:30AM  -  9:00PM
Sunday  6:30AM  -  9:00PM</t>
  </si>
  <si>
    <t>Queen Mother Sports Centre</t>
  </si>
  <si>
    <t>A short walk from Victoria station in central London, the Queen Mother Sports Centre is an oasis of stress-relieving activity amidst the hustle of the capital. Here, you can enjoy our two swimming pools, in which our award-winning swimming lessons – among other activities – take place. The modern gym that’s packed with all the latest cardio and resistance equipment, or you can enjoy one of our group exercise sessions, which include group cycling and hot yoga classes. Furthermore, there’s a sports hall that hosts a number of activities and we have three squash courts available for hire.</t>
  </si>
  <si>
    <t>223 Vauxhall Bridge Rd</t>
  </si>
  <si>
    <t>London SW1V 1EL</t>
  </si>
  <si>
    <t>Service options: Has swimming pool · Has sauna · Has basketball court</t>
  </si>
  <si>
    <t>+44 20 7798 2040</t>
  </si>
  <si>
    <t>https://www.facebook.com/eaQueenMother/</t>
  </si>
  <si>
    <t>Monday  8:00AM  -  10:00PM
Tuesday  8:00AM  -  10:00PM
Wednesday  8:00AM  -  10:00PM
Thursday  8:00AM  -  10:00PM
Friday  8:00AM  -  10:00PM
Saturday  8:00AM  -  10:00PM
Sunday  8:00AM  -  10:00PM</t>
  </si>
  <si>
    <t>Yoga with Sandra (Pregnancy, Postnatal &amp; General Yoga)</t>
  </si>
  <si>
    <t>Yoga teacher in North London. I teach pregnancy yoga, postnatal yoga, general yoga, yoga for cancer and other conditions. I am a Spinning Babies Parent Educator, Body Ready Method® Pro and a Restore Your Core® coach. Get in touch for continuity of support from pregnancy though to your postnatal life</t>
  </si>
  <si>
    <t>https://www.facebook.com/pregnancyyogawestauckland/</t>
  </si>
  <si>
    <t>The Gym Group London Battersea</t>
  </si>
  <si>
    <t>The Gym Group London Battersea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</si>
  <si>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3.2/5</t>
  </si>
  <si>
    <t>Palmer Rd</t>
  </si>
  <si>
    <t>London SW11 4FA</t>
  </si>
  <si>
    <t>The Fitness Club Ltd</t>
  </si>
  <si>
    <t>529 Finchley Rd</t>
  </si>
  <si>
    <t>London NW3 7BG</t>
  </si>
  <si>
    <t>http://www.fitnessclublondon.com/</t>
  </si>
  <si>
    <t>+44 20 7794 2000</t>
  </si>
  <si>
    <t>sales@fitnessclublondon.com</t>
  </si>
  <si>
    <t>Monday  6:00AM  -  8:00PM
Tuesday  6:00AM  -  8:00PM
Wednesday  6:00AM  -  8:00PM
Thursday  6:00AM  -  8:00PM
Friday  Closed
Saturday  8:00AM  -  2:00PM
Sunday  Closed</t>
  </si>
  <si>
    <t>Light Centre Monument</t>
  </si>
  <si>
    <t>OPEN FOR IN-CENTRE &amp; ONLINE CLASSES! See website for full details! The Light Centre is London's leading holistic health and wellbeing centre. At our Monument centre we have 90+ Yoga, Pilates and meditation classes per week, including Hot Yoga, plus over 60 holistic therapists of all kinds, a great cafe and lots of interesting workshops and courses. We also support and run wellbeing programmes for local companies.</t>
  </si>
  <si>
    <t>36 St Mary at Hill</t>
  </si>
  <si>
    <t>London EC3R 8DU</t>
  </si>
  <si>
    <t>+44 20 7283 2846</t>
  </si>
  <si>
    <t>https://www.facebook.com/LightCentreMonument/</t>
  </si>
  <si>
    <t>Monday  7:30AM  -  8:30PM
Tuesday  7:30AM  -  8:30PM
Wednesday  7:30AM  -  8:30PM
Thursday  7:30AM  -  8:30PM
Friday  7:30AM  -  8:30PM
Saturday  Closed
Sunday  Closed</t>
  </si>
  <si>
    <t>The Muswell Hill Club</t>
  </si>
  <si>
    <t>140 Fortis Green</t>
  </si>
  <si>
    <t>London N10 3EF</t>
  </si>
  <si>
    <t>+44 20 8883 0500</t>
  </si>
  <si>
    <t>https://www.linkedin.com/pub/dir/Gregory/Sinclair</t>
  </si>
  <si>
    <t>https://www.facebook.com/muswellhillclub/</t>
  </si>
  <si>
    <t>Monday  6:30AM  -  10:00PM
Tuesday  6:30AM  -  10:00PM
Wednesday  6:30AM  -  10:00PM
Thursday  6:30AM  -  10:00PM
Friday  6:30AM  -  10:00PM
Saturday  8:00AM  -  7:00PM
Sunday  8:00AM  -  5:00PM</t>
  </si>
  <si>
    <t>The Gym Group London Walworth Road</t>
  </si>
  <si>
    <t>The Gym Group London Walworth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</si>
  <si>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332</t>
  </si>
  <si>
    <t>London SE17 2NA</t>
  </si>
  <si>
    <t>The Gym Group London Wood Green The Mall</t>
  </si>
  <si>
    <t>The Gym Group Wood Green The Mall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</si>
  <si>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The Mall</t>
  </si>
  <si>
    <t>London N22 6YQ</t>
  </si>
  <si>
    <t>Yoga with Philippe</t>
  </si>
  <si>
    <t>41 Vauxhall Walk</t>
  </si>
  <si>
    <t>London SE11 5JT</t>
  </si>
  <si>
    <t>Monday  Closed
Tuesday  Closed
Wednesday Closed
Thursday  8:00AM  -  9:00PM
Friday  8:00AM  -  9:00PM
Saturday  8:00AM  -  9:00PM
Sunday  8:00AM  -  9:00PM</t>
  </si>
  <si>
    <t>The Gym Group London Streatham</t>
  </si>
  <si>
    <t>The Gym Group London Streatham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</si>
  <si>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Streatham Station</t>
  </si>
  <si>
    <t>London SW16 6HP</t>
  </si>
  <si>
    <t>https://www.linkedin.com/pub/dir/Lisa/Chadwick</t>
  </si>
  <si>
    <t>Gymbox Old Street</t>
  </si>
  <si>
    <t>For a gym where anything goes, Gymbox is right up Old Street. Kitted out with sleek studio spaces, best-in-class cardio equipment, huge free weights spaces and specialist combat gear, our club’s not just got the capital’s sweatiest classes. It’s the best place to beast in East.</t>
  </si>
  <si>
    <t>201A Old St</t>
  </si>
  <si>
    <t>London EC1V 9NP</t>
  </si>
  <si>
    <t>+44 20 3780 4698</t>
  </si>
  <si>
    <t>The Gym Group London Greenwich</t>
  </si>
  <si>
    <t>The Gym Group London Greenwich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</si>
  <si>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Unit 2 Creek Rd</t>
  </si>
  <si>
    <t>London SE10 9SW</t>
  </si>
  <si>
    <t>https://uk.linkedin.com/in/holly-sims-a9456715</t>
  </si>
  <si>
    <t>Virgin Active Head Office</t>
  </si>
  <si>
    <t>Virgin Active Head Office. An industry-leading Academy needs a world-class location and Mansion House in London fits the bill. Collaborate with other professionals, meet industry experts and develop your skills in our brand new training rooms, studio facilities and specialised gyms with state-of-the-art equipment.</t>
  </si>
  <si>
    <t>Mansion House</t>
  </si>
  <si>
    <t>London EC4V 2AR</t>
  </si>
  <si>
    <t>Service options: Online classes · Onsite services not available</t>
  </si>
  <si>
    <t>+44 20 7717 9000</t>
  </si>
  <si>
    <t>https://www.linkedin.com/pub/dir/James+%28jim%29/Walsh</t>
  </si>
  <si>
    <t>Soul Sista Yoga</t>
  </si>
  <si>
    <t>The engine room</t>
  </si>
  <si>
    <t>London NW1 4EE</t>
  </si>
  <si>
    <t>https://soulsistayoga.co.uk/</t>
  </si>
  <si>
    <t>+44 7901 508124</t>
  </si>
  <si>
    <t>filler@godaddy.com</t>
  </si>
  <si>
    <t>Monday  9:00AM  -  5:00AM
Tuesday  9:00AM  -  5:00AM
Wednesday  9:00AM  -  5:00AM
Thursday  9:00AM  -  5:00AM
Friday  9:00AM  -  5:00AM
Saturday  Closed
Sunday  Closed</t>
  </si>
  <si>
    <t>Third Space Mayfair</t>
  </si>
  <si>
    <t>Round the corner from Soho’s original, Third Space Mayfair is grown up luxury training.  It’s in the big things, like the Eleiko strength training area, performance watt bike zone and award winning personal training and it’s in the little things; like UV treated fresh air, a Himalayan sea-salt walled sauna and cycling shoes provided.</t>
  </si>
  <si>
    <t>22 Clarges St</t>
  </si>
  <si>
    <t>London W1J 5FA</t>
  </si>
  <si>
    <t>+44 20 7042 6440</t>
  </si>
  <si>
    <t>https://www.facebook.com/100063615221409/videos/third-space-mayfair-pt-scott-leahy/1882379831962138/</t>
  </si>
  <si>
    <t>The Westminster Physiotherapy and Pilates Centre</t>
  </si>
  <si>
    <t>9 Lower Grosvenor Pl</t>
  </si>
  <si>
    <t>London SW1W 0EN</t>
  </si>
  <si>
    <t>+44 20 7834 3700</t>
  </si>
  <si>
    <t>https://www.facebook.com/WPPCentre/</t>
  </si>
  <si>
    <t>Monday  8:00AM  -  8:00PM
Tuesday  8:00AM  -  8:00PM
Wednesday  8:00AM  -  8:00PM
Thursday  8:00AM  -  8:00PM
Friday  8:00AM  -  8:00PM
Saturday  Closed
Sunday  Closed</t>
  </si>
  <si>
    <t>LIM Studio</t>
  </si>
  <si>
    <t>Pilates studio in London, England</t>
  </si>
  <si>
    <t>114 Highbury Park</t>
  </si>
  <si>
    <t>London N5 2XE</t>
  </si>
  <si>
    <t>http://limstudio.co.uk/</t>
  </si>
  <si>
    <t>+44 7944 245121</t>
  </si>
  <si>
    <t>Gymbox Elephant &amp; Castle</t>
  </si>
  <si>
    <t>With three studios, huge free weights areas and first-class gym equipment as far as the eye can see, our Elephant &amp; Castle gym is one hell of a beast. Whether you come for a bruising in our Olympic-size boxing ring or get a kicking in class, expect massive endorphin hits, every time.</t>
  </si>
  <si>
    <t>38 New Kent Rd</t>
  </si>
  <si>
    <t>London SE1 6TJ</t>
  </si>
  <si>
    <t>+44 20 3912 3450</t>
  </si>
  <si>
    <t>https://uk.linkedin.com/jobs/view/personal-trainer-gymbox-elephant-and-castle-at-love-recruitment-ltd-3819169755</t>
  </si>
  <si>
    <t>https://m.facebook.com/profile.php?id=2166362513591291</t>
  </si>
  <si>
    <t>London Fitness Mamas</t>
  </si>
  <si>
    <t>https://www.facebook.com/Londonfitnessmamas/</t>
  </si>
  <si>
    <t>The Gym Group London Norbury</t>
  </si>
  <si>
    <t>The Gym Group London Norbury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</si>
  <si>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Fairview Rd</t>
  </si>
  <si>
    <t>London SW16 5PY</t>
  </si>
  <si>
    <t>Bloomsbury Fitness</t>
  </si>
  <si>
    <t>3rd floor</t>
  </si>
  <si>
    <t>London WC1H 0AH</t>
  </si>
  <si>
    <t>https://studentsunionucl.org/bloomsbury-fitness</t>
  </si>
  <si>
    <t>+44 20 7679 7221</t>
  </si>
  <si>
    <t>su.bfadmin@ucl.ac.uk</t>
  </si>
  <si>
    <t>https://m.facebook.com/profile.php?id=102567339809533</t>
  </si>
  <si>
    <t>Monday  7:00AM  -  10:30PM
Tuesday  7:00AM  -  10:30PM
Wednesday  7:00AM  -  10:30PM
Thursday  7:00AM  -  10:30PM
Friday  7:00AM  -  10:30PM
Saturday  9:00AM  -  7:00PM
Sunday  9:00AM  -  7:00PM</t>
  </si>
  <si>
    <t>CrossFit Central London</t>
  </si>
  <si>
    <t>We help you get stronger, healthier and happier, for life. We are not like your average gym.  We believe the best way to help you reach you health and fitness goals is by providing high quality coaching tailored to your needs. Whatever your current fitness levels, we can help.  We help people just like you reach their goals, whatever they might be; weight loss, building muscle, doing CrossFit consistently, getting rid of back pain or helping clothes fit better.  We help you reach your goals through Personal Training, CrossFit, Group Training, Nutrition Coaching and Lifestyle Coaching. Giving you the exact plan you need to help you reach your goals.</t>
  </si>
  <si>
    <t>56</t>
  </si>
  <si>
    <t>London SE1 0NR</t>
  </si>
  <si>
    <t>https://www.crossfitcentrallondon.co.uk/</t>
  </si>
  <si>
    <t>+44 7723 578697</t>
  </si>
  <si>
    <t>info@crossfitcentrallondon.co.uk</t>
  </si>
  <si>
    <t>https://www.facebook.com/CFCentralLondon/</t>
  </si>
  <si>
    <t>Monday  6:30AM  -  7:30PM
Tuesday  6:30AM  -  7:30PM
Wednesday  6:30AM  -  7:30PM
Thursday  6:30AM  -  7:30PM
Friday  6:30AM  -  7:30PM
Saturday  10:00AM  -  12:00PM
Sunday  Closed</t>
  </si>
  <si>
    <t>Marshall Street Leisure Centre and Spa</t>
  </si>
  <si>
    <t>Set in the heart of central London and featuring beautiful 1930s design, Marshall Street is an opulent and indulgent place to relax and get away from it all. You can enjoy a variety of different treatments here, as well as the range of facilities we have on offer.</t>
  </si>
  <si>
    <t>Marshall St</t>
  </si>
  <si>
    <t>London W1F 7EL</t>
  </si>
  <si>
    <t>+44 20 7734 4325</t>
  </si>
  <si>
    <t>Ground Gym</t>
  </si>
  <si>
    <t>ah@hotgroundgym.com</t>
  </si>
  <si>
    <t>https://www.linkedin.com/jobs/managing-director-marketing-jobs-irvine-ca</t>
  </si>
  <si>
    <t>https://www.facebook.com/AHHOTGROUNDGYM/</t>
  </si>
  <si>
    <t>Bannatyne Health Club</t>
  </si>
  <si>
    <t>gm.wellingborough@bannatyne.co.uk</t>
  </si>
  <si>
    <t>https://www.facebook.com/BannatyneYork/#:~:text=Fitness.york%40bannatyne.co.uk,-%23personaltrainer%20%23bannatyneyork%20%23</t>
  </si>
  <si>
    <t>Fabs Fitness</t>
  </si>
  <si>
    <t>City Lit Massage &amp; Wellbeing Centre</t>
  </si>
  <si>
    <t>The City Lit Wellbeing Centre is part of City Lit, a leading training provider in London for Massage and Complementary Therapies, providing outstanding achievement at high industry standards, at both introductory and professional levels. Our courses are taught by experienced and practising industry professionals who have current knowledge of the massage and complementary therapy industry sectors. Our courses are taught in subject specialist training rooms at the City Lit Wellbeing Centre.</t>
  </si>
  <si>
    <t>9 Kean St</t>
  </si>
  <si>
    <t>London WC2B 4AY</t>
  </si>
  <si>
    <t>Monday  8:30AM  -  9:15PM
Tuesday  8:30AM  -  9:15PM
Wednesday  8:30AM  -  9:15PM
Thursday  8:30AM  -  9:15PM
Friday  8:30AM  -  6:00PM
Saturday  8:30AM  -  5:15PM
Sunday  8:30AM  -  5:15PM</t>
  </si>
  <si>
    <t>Kirtan &amp; Mantra Meditation</t>
  </si>
  <si>
    <t xml:space="preserve">Zeanclub Yoga studio </t>
  </si>
  <si>
    <t>The Gym Group London Colindale</t>
  </si>
  <si>
    <t>The Gym Group London Colindale is open 24/7, offering no contract low cost membership options, so you can get in shape when it suits you. Free fitness classes every week to burn fat, boost cardio, improve muscle tone and sculpt your body. Find plenty of fitness equipment and weight machines to take your workouts to the next level. Book in with one of our experienced personal trainers to help make your fitness goals a reality. We create a relaxed and welcoming fitness environment for anyone who wants to improve their physical wellbeing, find your fit with The Gym Group today.</t>
  </si>
  <si>
    <t>Zenith House</t>
  </si>
  <si>
    <t>London NW9 6DB</t>
  </si>
  <si>
    <t>https://www.linkedin.com/pub/dir/Lee/T.?trk=public_profile_samename-see-all</t>
  </si>
  <si>
    <t>triyoga Ealing</t>
  </si>
  <si>
    <t>Unit 30 Dickens Yard</t>
  </si>
  <si>
    <t>London W5 2UQ</t>
  </si>
  <si>
    <t>+44 20 3362 0688</t>
  </si>
  <si>
    <t>Monday  7:00AM  -  9:00PM
Tuesday  7:00AM  -  9:00PM
Wednesday  7:00AM  -  9:00PM
Thursday  7:00AM  -  9:00PM
Friday  7:00AM  -  9:00PM
Saturday  8:00AM  -  5:00PM
Sunday  8:00AM  -  5:00PM</t>
  </si>
  <si>
    <t>Yoga London</t>
  </si>
  <si>
    <t>https://uk.linkedin.com/jobs/view/general-manager-regent-street-at-alo-yoga-3786719396</t>
  </si>
  <si>
    <t>Core Collective</t>
  </si>
  <si>
    <t>https://www.linkedin.com/jobs/view/executive-vice-president-corporate-operations-at-acco-engineered-systems-3810590200</t>
  </si>
  <si>
    <t>https://www.facebook.com/corecollectivegf/</t>
  </si>
  <si>
    <t>Egoist Body Studios</t>
  </si>
  <si>
    <t>6 Fitzroy Square</t>
  </si>
  <si>
    <t>London W1T 5DX</t>
  </si>
  <si>
    <t>+44 7850 927523</t>
  </si>
  <si>
    <t>https://www.linkedin.com/jobs/director-jobs</t>
  </si>
  <si>
    <t>https://www.facebook.com/egoistbody/</t>
  </si>
  <si>
    <t>Monday  Closed
Tuesday  8:00AM  -  8:00PM
Wednesday  8:00AM  -  8:00PM
Thursday  8:00AM  -  8:00PM
Friday  8:00AM  -  8:00PM
Saturday  Closed
Sunday  Closed</t>
  </si>
  <si>
    <t>Yoga Health Studio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</si>
</sst>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5">
    <font>
      <sz val="12.0"/>
      <color rgb="FF000000"/>
      <name val="Calibri"/>
      <scheme val="minor"/>
    </font>
    <font>
      <color theme="1"/>
      <name val="Calibri"/>
    </font>
    <font>
      <sz val="9.0"/>
      <color theme="1"/>
      <name val="Calibri"/>
    </font>
    <font>
      <u/>
      <color rgb="FF0000FF"/>
    </font>
    <font>
      <sz val="11.0"/>
      <color rgb="FF050505"/>
      <name val="Arial"/>
    </font>
    <font>
      <i/>
      <u/>
      <sz val="11.0"/>
      <color rgb="FF2EBB95"/>
      <name val="Efr"/>
    </font>
    <font>
      <u/>
      <color rgb="FF0000FF"/>
      <name val="Calibri"/>
    </font>
    <font>
      <sz val="10.0"/>
      <color rgb="FF000000"/>
      <name val="Montserrat"/>
    </font>
    <font>
      <sz val="14.0"/>
      <color rgb="FF000000"/>
      <name val="Montserrat"/>
    </font>
    <font>
      <u/>
      <sz val="10.0"/>
      <color rgb="FF000000"/>
      <name val="Arial"/>
    </font>
    <font>
      <color theme="1"/>
      <name val="Calibri"/>
      <scheme val="minor"/>
    </font>
    <font>
      <sz val="11.0"/>
      <color rgb="FF000000"/>
      <name val="Arial"/>
    </font>
    <font>
      <sz val="10.0"/>
      <color rgb="FF000000"/>
      <name val="Arial"/>
    </font>
    <font>
      <sz val="11.0"/>
      <color rgb="FF202124"/>
      <name val="Arial"/>
    </font>
    <font>
      <u/>
      <sz val="10.0"/>
      <color rgb="FF000000"/>
      <name val="Arial"/>
    </font>
    <font>
      <sz val="10.0"/>
      <color rgb="FF222222"/>
      <name val="Arial"/>
    </font>
    <font>
      <u/>
      <sz val="11.0"/>
      <color rgb="FF050505"/>
      <name val="Quattrocento Sans"/>
    </font>
    <font>
      <sz val="11.0"/>
      <color rgb="FF000000"/>
      <name val="Ubuntu"/>
    </font>
    <font>
      <sz val="10.0"/>
      <color rgb="FF000000"/>
      <name val="-apple-system"/>
    </font>
    <font>
      <sz val="11.0"/>
      <color rgb="FF050505"/>
      <name val="Quattrocento Sans"/>
    </font>
    <font>
      <sz val="10.0"/>
      <color rgb="FF000000"/>
      <name val="Calibri"/>
    </font>
    <font>
      <sz val="10.0"/>
      <color rgb="FF050505"/>
      <name val="Quattrocento Sans"/>
    </font>
    <font>
      <u/>
      <color theme="1"/>
      <name val="Inherit"/>
    </font>
    <font>
      <sz val="10.0"/>
      <color rgb="FF050505"/>
      <name val="Arial"/>
    </font>
    <font>
      <u/>
      <color theme="1"/>
      <name val="Inherit"/>
    </font>
    <font>
      <sz val="10.0"/>
      <color rgb="FF000000"/>
      <name val="Open Sans"/>
    </font>
    <font>
      <sz val="11.0"/>
      <color rgb="FF000000"/>
      <name val="Open Sans"/>
    </font>
    <font>
      <u/>
      <sz val="11.0"/>
      <color rgb="FF1A0DAB"/>
      <name val="Arial"/>
    </font>
    <font>
      <sz val="12.0"/>
      <color rgb="FF000000"/>
      <name val="Avenir"/>
    </font>
    <font>
      <u/>
      <sz val="11.0"/>
      <color rgb="FF0000FF"/>
      <name val="Lato"/>
    </font>
    <font>
      <sz val="10.0"/>
      <color theme="1"/>
      <name val="Comfortaa"/>
    </font>
    <font>
      <sz val="11.0"/>
      <color rgb="FF000000"/>
      <name val="DM Sans"/>
    </font>
    <font>
      <u/>
      <sz val="10.0"/>
      <color rgb="FF000000"/>
      <name val="Open Sans"/>
    </font>
    <font>
      <sz val="10.0"/>
      <color rgb="FF000000"/>
      <name val="Azo_sanslight"/>
    </font>
    <font>
      <u/>
      <sz val="9.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2" numFmtId="0" xfId="0" applyFont="1"/>
    <xf borderId="0" fillId="0" fontId="3" numFmtId="0" xfId="0" applyFont="1"/>
    <xf quotePrefix="1" borderId="0" fillId="2" fontId="4" numFmtId="0" xfId="0" applyAlignment="1" applyFill="1" applyFont="1">
      <alignment horizontal="left"/>
    </xf>
    <xf borderId="0" fillId="0" fontId="5" numFmtId="0" xfId="0" applyFont="1"/>
    <xf borderId="0" fillId="0" fontId="1" numFmtId="164" xfId="0" applyFont="1" applyNumberFormat="1"/>
    <xf borderId="0" fillId="0" fontId="6" numFmtId="0" xfId="0" applyFont="1"/>
    <xf borderId="0" fillId="0" fontId="7" numFmtId="0" xfId="0" applyAlignment="1" applyFont="1">
      <alignment horizontal="left"/>
    </xf>
    <xf borderId="0" fillId="0" fontId="8" numFmtId="0" xfId="0" applyAlignment="1" applyFont="1">
      <alignment horizontal="left"/>
    </xf>
    <xf quotePrefix="1" borderId="0" fillId="2" fontId="9" numFmtId="0" xfId="0" applyAlignment="1" applyFont="1">
      <alignment horizontal="left"/>
    </xf>
    <xf borderId="0" fillId="0" fontId="10" numFmtId="0" xfId="0" applyFont="1"/>
    <xf quotePrefix="1" borderId="0" fillId="0" fontId="11" numFmtId="0" xfId="0" applyAlignment="1" applyFont="1">
      <alignment horizontal="left"/>
    </xf>
    <xf borderId="0" fillId="2" fontId="12" numFmtId="0" xfId="0" applyFont="1"/>
    <xf borderId="0" fillId="2" fontId="13" numFmtId="0" xfId="0" applyFont="1"/>
    <xf quotePrefix="1" borderId="0" fillId="2" fontId="14" numFmtId="0" xfId="0" applyFont="1"/>
    <xf borderId="0" fillId="2" fontId="15" numFmtId="0" xfId="0" applyAlignment="1" applyFont="1">
      <alignment horizontal="left"/>
    </xf>
    <xf borderId="0" fillId="2" fontId="13" numFmtId="0" xfId="0" applyAlignment="1" applyFont="1">
      <alignment horizontal="left"/>
    </xf>
    <xf borderId="0" fillId="2" fontId="16" numFmtId="0" xfId="0" applyFont="1"/>
    <xf borderId="0" fillId="2" fontId="17" numFmtId="0" xfId="0" applyAlignment="1" applyFont="1">
      <alignment horizontal="left"/>
    </xf>
    <xf borderId="0" fillId="2" fontId="18" numFmtId="0" xfId="0" applyFont="1"/>
    <xf borderId="0" fillId="2" fontId="19" numFmtId="0" xfId="0" applyAlignment="1" applyFont="1">
      <alignment horizontal="left"/>
    </xf>
    <xf borderId="0" fillId="2" fontId="20" numFmtId="0" xfId="0" applyFont="1"/>
    <xf borderId="0" fillId="2" fontId="21" numFmtId="0" xfId="0" applyAlignment="1" applyFont="1">
      <alignment horizontal="left"/>
    </xf>
    <xf borderId="0" fillId="0" fontId="22" numFmtId="0" xfId="0" applyAlignment="1" applyFont="1">
      <alignment shrinkToFit="0" wrapText="1"/>
    </xf>
    <xf quotePrefix="1" borderId="0" fillId="2" fontId="23" numFmtId="0" xfId="0" applyAlignment="1" applyFont="1">
      <alignment horizontal="left"/>
    </xf>
    <xf borderId="0" fillId="0" fontId="24" numFmtId="0" xfId="0" applyAlignment="1" applyFont="1">
      <alignment horizontal="left" shrinkToFit="0" vertical="bottom" wrapText="1"/>
    </xf>
    <xf borderId="0" fillId="0" fontId="1" numFmtId="164" xfId="0" applyAlignment="1" applyFont="1" applyNumberFormat="1">
      <alignment horizontal="left"/>
    </xf>
    <xf borderId="0" fillId="2" fontId="19" numFmtId="0" xfId="0" applyFont="1"/>
    <xf quotePrefix="1" borderId="0" fillId="2" fontId="25" numFmtId="0" xfId="0" applyAlignment="1" applyFont="1">
      <alignment horizontal="left"/>
    </xf>
    <xf borderId="0" fillId="2" fontId="26" numFmtId="0" xfId="0" applyAlignment="1" applyFont="1">
      <alignment horizontal="left"/>
    </xf>
    <xf quotePrefix="1" borderId="0" fillId="2" fontId="27" numFmtId="0" xfId="0" applyAlignment="1" applyFont="1">
      <alignment horizontal="left"/>
    </xf>
    <xf borderId="0" fillId="0" fontId="28" numFmtId="0" xfId="0" applyFont="1"/>
    <xf borderId="0" fillId="0" fontId="29" numFmtId="0" xfId="0" applyFont="1"/>
    <xf quotePrefix="1" borderId="0" fillId="2" fontId="30" numFmtId="0" xfId="0" applyAlignment="1" applyFont="1">
      <alignment shrinkToFit="0" wrapText="1"/>
    </xf>
    <xf borderId="0" fillId="2" fontId="31" numFmtId="0" xfId="0" applyFont="1"/>
    <xf borderId="0" fillId="2" fontId="25" numFmtId="0" xfId="0" applyAlignment="1" applyFont="1">
      <alignment horizontal="left"/>
    </xf>
    <xf borderId="0" fillId="2" fontId="32" numFmtId="0" xfId="0" applyAlignment="1" applyFont="1">
      <alignment horizontal="left"/>
    </xf>
    <xf quotePrefix="1" borderId="0" fillId="2" fontId="33" numFmtId="0" xfId="0" applyFont="1"/>
    <xf borderId="0" fillId="2" fontId="33" numFmtId="0" xfId="0" applyFont="1"/>
    <xf borderId="0" fillId="0" fontId="3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gaalliance.org/" TargetMode="External"/><Relationship Id="rId42" Type="http://schemas.openxmlformats.org/officeDocument/2006/relationships/hyperlink" Target="https://www.facebook.com/KXLife/" TargetMode="External"/><Relationship Id="rId41" Type="http://schemas.openxmlformats.org/officeDocument/2006/relationships/hyperlink" Target="https://www.facebook.com/yogaalliance/" TargetMode="External"/><Relationship Id="rId44" Type="http://schemas.openxmlformats.org/officeDocument/2006/relationships/hyperlink" Target="https://www.facebook.com/xscapestudios/" TargetMode="External"/><Relationship Id="rId43" Type="http://schemas.openxmlformats.org/officeDocument/2006/relationships/hyperlink" Target="https://southbankyoga.co.uk/" TargetMode="External"/><Relationship Id="rId46" Type="http://schemas.openxmlformats.org/officeDocument/2006/relationships/hyperlink" Target="https://www.facebook.com/UCLYogaMeditationClub/" TargetMode="External"/><Relationship Id="rId45" Type="http://schemas.openxmlformats.org/officeDocument/2006/relationships/hyperlink" Target="https://www.linkedin.com/company/ucl-yoga-and-meditation-society" TargetMode="External"/><Relationship Id="rId48" Type="http://schemas.openxmlformats.org/officeDocument/2006/relationships/hyperlink" Target="https://www.facebook.com/soulexplorerLDN" TargetMode="External"/><Relationship Id="rId47" Type="http://schemas.openxmlformats.org/officeDocument/2006/relationships/hyperlink" Target="https://www.kundaliniyoga.london/" TargetMode="External"/><Relationship Id="rId49" Type="http://schemas.openxmlformats.org/officeDocument/2006/relationships/hyperlink" Target="https://www.adelenecheong.com/" TargetMode="External"/><Relationship Id="rId31" Type="http://schemas.openxmlformats.org/officeDocument/2006/relationships/hyperlink" Target="https://www.ozonehealthandfitness.co.uk/" TargetMode="External"/><Relationship Id="rId30" Type="http://schemas.openxmlformats.org/officeDocument/2006/relationships/hyperlink" Target="https://megansmindfulmovement.com/" TargetMode="External"/><Relationship Id="rId33" Type="http://schemas.openxmlformats.org/officeDocument/2006/relationships/hyperlink" Target="https://www.ysyoga.co.uk/" TargetMode="External"/><Relationship Id="rId32" Type="http://schemas.openxmlformats.org/officeDocument/2006/relationships/hyperlink" Target="https://www.facebook.com/ozonehealthclub/" TargetMode="External"/><Relationship Id="rId35" Type="http://schemas.openxmlformats.org/officeDocument/2006/relationships/hyperlink" Target="https://yuriyoga.co.uk/" TargetMode="External"/><Relationship Id="rId34" Type="http://schemas.openxmlformats.org/officeDocument/2006/relationships/hyperlink" Target="https://www.facebook.com/ysyogauk/about" TargetMode="External"/><Relationship Id="rId37" Type="http://schemas.openxmlformats.org/officeDocument/2006/relationships/hyperlink" Target="https://www.purebalanceyoga.co.uk/" TargetMode="External"/><Relationship Id="rId36" Type="http://schemas.openxmlformats.org/officeDocument/2006/relationships/hyperlink" Target="https://www.facebook.com/yuriyogalondon?paipv=0&amp;eav=AfZ6i3MfNpfw7aY5wgi8D5R7fq3nXcnmlmOGnq0QMuk5M6ifuts6inHKHSXW8PizOE4&amp;_rdr" TargetMode="External"/><Relationship Id="rId39" Type="http://schemas.openxmlformats.org/officeDocument/2006/relationships/hyperlink" Target="https://www.pommama.com/" TargetMode="External"/><Relationship Id="rId38" Type="http://schemas.openxmlformats.org/officeDocument/2006/relationships/hyperlink" Target="https://www.facebook.com/purebalanceyoga/?fref=ts" TargetMode="External"/><Relationship Id="rId20" Type="http://schemas.openxmlformats.org/officeDocument/2006/relationships/hyperlink" Target="https://www.purpleprana.org/" TargetMode="External"/><Relationship Id="rId22" Type="http://schemas.openxmlformats.org/officeDocument/2006/relationships/hyperlink" Target="https://web.facebook.com/happyatheartyoga/?_rdc=1&amp;_rdr" TargetMode="External"/><Relationship Id="rId21" Type="http://schemas.openxmlformats.org/officeDocument/2006/relationships/hyperlink" Target="https://happyatheartyoga.com/" TargetMode="External"/><Relationship Id="rId24" Type="http://schemas.openxmlformats.org/officeDocument/2006/relationships/hyperlink" Target="http://empoweringyoga.co.uk/" TargetMode="External"/><Relationship Id="rId23" Type="http://schemas.openxmlformats.org/officeDocument/2006/relationships/hyperlink" Target="https://www.activenewham.org.uk/easthamleisurecentre" TargetMode="External"/><Relationship Id="rId26" Type="http://schemas.openxmlformats.org/officeDocument/2006/relationships/hyperlink" Target="https://www.facebook.com/GymboxOfficial/" TargetMode="External"/><Relationship Id="rId25" Type="http://schemas.openxmlformats.org/officeDocument/2006/relationships/hyperlink" Target="https://web.facebook.com/EmpoweringYoga/?_rdc=1&amp;_rdr" TargetMode="External"/><Relationship Id="rId28" Type="http://schemas.openxmlformats.org/officeDocument/2006/relationships/hyperlink" Target="https://www.facebook.com/yogalondonus" TargetMode="External"/><Relationship Id="rId27" Type="http://schemas.openxmlformats.org/officeDocument/2006/relationships/hyperlink" Target="https://yogalondon.us/" TargetMode="External"/><Relationship Id="rId29" Type="http://schemas.openxmlformats.org/officeDocument/2006/relationships/hyperlink" Target="https://helioscentre.org.uk/" TargetMode="External"/><Relationship Id="rId95" Type="http://schemas.openxmlformats.org/officeDocument/2006/relationships/hyperlink" Target="https://www.thegymgroup.com/" TargetMode="External"/><Relationship Id="rId94" Type="http://schemas.openxmlformats.org/officeDocument/2006/relationships/hyperlink" Target="https://www.bloklondon.com/" TargetMode="External"/><Relationship Id="rId97" Type="http://schemas.openxmlformats.org/officeDocument/2006/relationships/hyperlink" Target="https://www.facebook.com/HOF.EC1Y" TargetMode="External"/><Relationship Id="rId96" Type="http://schemas.openxmlformats.org/officeDocument/2006/relationships/hyperlink" Target="https://www.linkedin.com/posts/carlkalapesi_peoplefirst-activity-7034215359133966336-mVjf" TargetMode="External"/><Relationship Id="rId11" Type="http://schemas.openxmlformats.org/officeDocument/2006/relationships/hyperlink" Target="https://www.facebook.com/digmefitness/" TargetMode="External"/><Relationship Id="rId10" Type="http://schemas.openxmlformats.org/officeDocument/2006/relationships/hyperlink" Target="mailto:bank@digmefitness.com" TargetMode="External"/><Relationship Id="rId98" Type="http://schemas.openxmlformats.org/officeDocument/2006/relationships/drawing" Target="../drawings/drawing1.xml"/><Relationship Id="rId13" Type="http://schemas.openxmlformats.org/officeDocument/2006/relationships/hyperlink" Target="https://www.facebook.com/TheShalaYogaLondon" TargetMode="External"/><Relationship Id="rId12" Type="http://schemas.openxmlformats.org/officeDocument/2006/relationships/hyperlink" Target="https://www.theshalalondon.com/" TargetMode="External"/><Relationship Id="rId91" Type="http://schemas.openxmlformats.org/officeDocument/2006/relationships/hyperlink" Target="https://www.totalchi.com/" TargetMode="External"/><Relationship Id="rId90" Type="http://schemas.openxmlformats.org/officeDocument/2006/relationships/hyperlink" Target="https://www.facebook.com/thesportingc/" TargetMode="External"/><Relationship Id="rId93" Type="http://schemas.openxmlformats.org/officeDocument/2006/relationships/hyperlink" Target="https://www.facebook.com/ScaravelliYoga/" TargetMode="External"/><Relationship Id="rId92" Type="http://schemas.openxmlformats.org/officeDocument/2006/relationships/hyperlink" Target="https://www.intelligentyogateachertraining.co.uk/" TargetMode="External"/><Relationship Id="rId15" Type="http://schemas.openxmlformats.org/officeDocument/2006/relationships/hyperlink" Target="https://www.facebook.com/YogariseLondon/" TargetMode="External"/><Relationship Id="rId14" Type="http://schemas.openxmlformats.org/officeDocument/2006/relationships/hyperlink" Target="https://www.yogarise.london/covent-garden-studio/" TargetMode="External"/><Relationship Id="rId17" Type="http://schemas.openxmlformats.org/officeDocument/2006/relationships/hyperlink" Target="https://www.gymbox.com/gyms/ealing" TargetMode="External"/><Relationship Id="rId16" Type="http://schemas.openxmlformats.org/officeDocument/2006/relationships/hyperlink" Target="https://www.facebook.com/SportSessionDotCom" TargetMode="External"/><Relationship Id="rId19" Type="http://schemas.openxmlformats.org/officeDocument/2006/relationships/hyperlink" Target="https://www.facebook.com/GymboxOfficial/" TargetMode="External"/><Relationship Id="rId18" Type="http://schemas.openxmlformats.org/officeDocument/2006/relationships/hyperlink" Target="https://www.facebook.com/GymboxOfficial/" TargetMode="External"/><Relationship Id="rId84" Type="http://schemas.openxmlformats.org/officeDocument/2006/relationships/hyperlink" Target="https://yogaunionlondon.com/" TargetMode="External"/><Relationship Id="rId83" Type="http://schemas.openxmlformats.org/officeDocument/2006/relationships/hyperlink" Target="https://www.islingtonyoga.com/" TargetMode="External"/><Relationship Id="rId86" Type="http://schemas.openxmlformats.org/officeDocument/2006/relationships/hyperlink" Target="https://triyoga.co.uk/locations/triyoga-chelsea/?utm_source=gbp&amp;utm_medium=main_link&amp;utm_id=chelsea" TargetMode="External"/><Relationship Id="rId85" Type="http://schemas.openxmlformats.org/officeDocument/2006/relationships/hyperlink" Target="https://www.facebook.com/gymonlondon" TargetMode="External"/><Relationship Id="rId88" Type="http://schemas.openxmlformats.org/officeDocument/2006/relationships/hyperlink" Target="https://thesportingclub.co/" TargetMode="External"/><Relationship Id="rId87" Type="http://schemas.openxmlformats.org/officeDocument/2006/relationships/hyperlink" Target="https://www.facebook.com/triyogauk/" TargetMode="External"/><Relationship Id="rId89" Type="http://schemas.openxmlformats.org/officeDocument/2006/relationships/hyperlink" Target="mailto:info@thesportingclub.co" TargetMode="External"/><Relationship Id="rId80" Type="http://schemas.openxmlformats.org/officeDocument/2006/relationships/hyperlink" Target="https://www.facebook.com/MoovYoga/" TargetMode="External"/><Relationship Id="rId82" Type="http://schemas.openxmlformats.org/officeDocument/2006/relationships/hyperlink" Target="https://www.facebook.com/TenHealthFitness" TargetMode="External"/><Relationship Id="rId81" Type="http://schemas.openxmlformats.org/officeDocument/2006/relationships/hyperlink" Target="https://www.ten.co.uk/?utm_source=google&amp;utm_medium=organic&amp;utm_campaign=gmb&amp;utm_term=hatton_garden" TargetMode="External"/><Relationship Id="rId1" Type="http://schemas.openxmlformats.org/officeDocument/2006/relationships/hyperlink" Target="https://www.facebook.com/digmefitness" TargetMode="External"/><Relationship Id="rId2" Type="http://schemas.openxmlformats.org/officeDocument/2006/relationships/hyperlink" Target="https://m.facebook.com/EmbodyWellnessChiropracticCenter/" TargetMode="External"/><Relationship Id="rId3" Type="http://schemas.openxmlformats.org/officeDocument/2006/relationships/hyperlink" Target="https://www.facebook.com/buddhabox/" TargetMode="External"/><Relationship Id="rId4" Type="http://schemas.openxmlformats.org/officeDocument/2006/relationships/hyperlink" Target="https://www.facebook.com/therefinerye9" TargetMode="External"/><Relationship Id="rId9" Type="http://schemas.openxmlformats.org/officeDocument/2006/relationships/hyperlink" Target="https://www.digmefitness.com/studio/bank" TargetMode="External"/><Relationship Id="rId5" Type="http://schemas.openxmlformats.org/officeDocument/2006/relationships/hyperlink" Target="https://www.facebook.com/YogariseLondon/" TargetMode="External"/><Relationship Id="rId6" Type="http://schemas.openxmlformats.org/officeDocument/2006/relationships/hyperlink" Target="https://www.facebook.com/FierceGraceYoga/" TargetMode="External"/><Relationship Id="rId7" Type="http://schemas.openxmlformats.org/officeDocument/2006/relationships/hyperlink" Target="https://www.facebook.com/IntegrityCentreLondon/" TargetMode="External"/><Relationship Id="rId8" Type="http://schemas.openxmlformats.org/officeDocument/2006/relationships/hyperlink" Target="https://www.theyogastudiolondon.com/" TargetMode="External"/><Relationship Id="rId73" Type="http://schemas.openxmlformats.org/officeDocument/2006/relationships/hyperlink" Target="https://www.ten.co.uk/" TargetMode="External"/><Relationship Id="rId72" Type="http://schemas.openxmlformats.org/officeDocument/2006/relationships/hyperlink" Target="https://www.houseofhotyoga.co.uk/" TargetMode="External"/><Relationship Id="rId75" Type="http://schemas.openxmlformats.org/officeDocument/2006/relationships/hyperlink" Target="https://www.thegymgroup.com/find-a-gym/north-london-gyms/charing-cross/" TargetMode="External"/><Relationship Id="rId74" Type="http://schemas.openxmlformats.org/officeDocument/2006/relationships/hyperlink" Target="https://www.facebook.com/TenHealthFitness" TargetMode="External"/><Relationship Id="rId77" Type="http://schemas.openxmlformats.org/officeDocument/2006/relationships/hyperlink" Target="https://www.facebook.com/oliviayogalondon/" TargetMode="External"/><Relationship Id="rId76" Type="http://schemas.openxmlformats.org/officeDocument/2006/relationships/hyperlink" Target="https://www.yogawitholivia.co.uk/" TargetMode="External"/><Relationship Id="rId79" Type="http://schemas.openxmlformats.org/officeDocument/2006/relationships/hyperlink" Target="https://l.facebook.com/l.php?u=http%3A%2F%2Fwww.moovyoga.co.uk%2F%3Ffbclid%3DIwAR0jTyNXpL68yj3McLLRSrz6XpiE428oMJVDBMtXK21tIkb6gXZG-MnH0qc&amp;h=AT0ZMOeK8FezMjFLMS3KerKG2JsHBwDW1Aad5TuPiJS6w8NySjbytcyc6vSGysvOqj68jlVRTTl1ETLmw550NSOD9Cz1gSuFHSGHeJyYcQI7GhVpYDzfrglwTxUUowp9vrSVkw" TargetMode="External"/><Relationship Id="rId78" Type="http://schemas.openxmlformats.org/officeDocument/2006/relationships/hyperlink" Target="https://www.london.edu/about/our-campuses/london" TargetMode="External"/><Relationship Id="rId71" Type="http://schemas.openxmlformats.org/officeDocument/2006/relationships/hyperlink" Target="https://www.facebook.com/TheLifeCentreLondon/" TargetMode="External"/><Relationship Id="rId70" Type="http://schemas.openxmlformats.org/officeDocument/2006/relationships/hyperlink" Target="mailto:nottinghill@thelifecentre.com" TargetMode="External"/><Relationship Id="rId62" Type="http://schemas.openxmlformats.org/officeDocument/2006/relationships/hyperlink" Target="https://vitaboutiquefitness.com/" TargetMode="External"/><Relationship Id="rId61" Type="http://schemas.openxmlformats.org/officeDocument/2006/relationships/hyperlink" Target="https://www.facebook.com/triyogauk/" TargetMode="External"/><Relationship Id="rId64" Type="http://schemas.openxmlformats.org/officeDocument/2006/relationships/hyperlink" Target="https://www.facebook.com/sadhanawellbeing/" TargetMode="External"/><Relationship Id="rId63" Type="http://schemas.openxmlformats.org/officeDocument/2006/relationships/hyperlink" Target="https://sadhana-wellbeing.com/" TargetMode="External"/><Relationship Id="rId66" Type="http://schemas.openxmlformats.org/officeDocument/2006/relationships/hyperlink" Target="https://www.fitnessfirst.co.uk/" TargetMode="External"/><Relationship Id="rId65" Type="http://schemas.openxmlformats.org/officeDocument/2006/relationships/hyperlink" Target="https://www.facebook.com/sadhguru" TargetMode="External"/><Relationship Id="rId68" Type="http://schemas.openxmlformats.org/officeDocument/2006/relationships/hyperlink" Target="https://www.facebook.com/mudrayogalondon" TargetMode="External"/><Relationship Id="rId67" Type="http://schemas.openxmlformats.org/officeDocument/2006/relationships/hyperlink" Target="https://www.facebook.com/FitnessFirstUKOfficial" TargetMode="External"/><Relationship Id="rId60" Type="http://schemas.openxmlformats.org/officeDocument/2006/relationships/hyperlink" Target="https://triyoga.co.uk/locations/triyoga-camden/" TargetMode="External"/><Relationship Id="rId69" Type="http://schemas.openxmlformats.org/officeDocument/2006/relationships/hyperlink" Target="https://thelifecentre.com/" TargetMode="External"/><Relationship Id="rId51" Type="http://schemas.openxmlformats.org/officeDocument/2006/relationships/hyperlink" Target="https://www.stretchinc.uk/" TargetMode="External"/><Relationship Id="rId50" Type="http://schemas.openxmlformats.org/officeDocument/2006/relationships/hyperlink" Target="https://www.facebook.com/adeleneyoga/?locale=en_GB" TargetMode="External"/><Relationship Id="rId53" Type="http://schemas.openxmlformats.org/officeDocument/2006/relationships/hyperlink" Target="https://iskcon.london/" TargetMode="External"/><Relationship Id="rId52" Type="http://schemas.openxmlformats.org/officeDocument/2006/relationships/hyperlink" Target="https://www.facebook.com/stretchinc1" TargetMode="External"/><Relationship Id="rId55" Type="http://schemas.openxmlformats.org/officeDocument/2006/relationships/hyperlink" Target="https://www.paddingtongyms.com/london-street-gym/" TargetMode="External"/><Relationship Id="rId54" Type="http://schemas.openxmlformats.org/officeDocument/2006/relationships/hyperlink" Target="https://www.facebook.com/iskconlondon" TargetMode="External"/><Relationship Id="rId57" Type="http://schemas.openxmlformats.org/officeDocument/2006/relationships/hyperlink" Target="https://www.ymcaclub.co.uk/" TargetMode="External"/><Relationship Id="rId56" Type="http://schemas.openxmlformats.org/officeDocument/2006/relationships/hyperlink" Target="https://www.facebook.com/femalesfitnesscollective/" TargetMode="External"/><Relationship Id="rId59" Type="http://schemas.openxmlformats.org/officeDocument/2006/relationships/hyperlink" Target="https://www.fiercegrace.com/studios/city" TargetMode="External"/><Relationship Id="rId58" Type="http://schemas.openxmlformats.org/officeDocument/2006/relationships/hyperlink" Target="https://www.facebook.com/Indaba.Yog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67"/>
    <col customWidth="1" min="2" max="3" width="17.56"/>
    <col customWidth="1" min="4" max="8" width="10.56"/>
    <col customWidth="1" min="9" max="9" width="20.44"/>
    <col customWidth="1" min="10" max="10" width="10.56"/>
    <col customWidth="1" min="11" max="11" width="35.11"/>
    <col customWidth="1" min="12" max="12" width="41.89"/>
    <col customWidth="1" min="13" max="13" width="39.44"/>
    <col customWidth="1" min="14" max="14" width="47.0"/>
    <col customWidth="1" min="15" max="15" width="33.67"/>
    <col customWidth="1" min="16" max="16" width="29.44"/>
    <col customWidth="1" min="17" max="17" width="30.44"/>
    <col customWidth="1" min="18" max="23" width="10.56"/>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5.75" customHeight="1">
      <c r="A2" s="1" t="s">
        <v>16</v>
      </c>
      <c r="B2" s="1" t="s">
        <v>17</v>
      </c>
      <c r="C2" s="1" t="s">
        <v>18</v>
      </c>
      <c r="D2" s="1" t="s">
        <v>17</v>
      </c>
      <c r="E2" s="1" t="s">
        <v>19</v>
      </c>
      <c r="F2" s="1" t="s">
        <v>20</v>
      </c>
      <c r="G2" s="1" t="s">
        <v>21</v>
      </c>
      <c r="H2" s="1" t="s">
        <v>22</v>
      </c>
      <c r="I2" s="1" t="s">
        <v>23</v>
      </c>
      <c r="J2" s="1" t="s">
        <v>17</v>
      </c>
      <c r="K2" s="1" t="s">
        <v>17</v>
      </c>
      <c r="L2" s="1" t="s">
        <v>24</v>
      </c>
      <c r="M2" s="1" t="s">
        <v>25</v>
      </c>
      <c r="N2" s="1" t="s">
        <v>26</v>
      </c>
      <c r="O2" s="1" t="s">
        <v>27</v>
      </c>
      <c r="P2" s="1" t="s">
        <v>28</v>
      </c>
    </row>
    <row r="3" ht="15.75" customHeight="1">
      <c r="A3" s="1" t="s">
        <v>29</v>
      </c>
      <c r="B3" s="1" t="s">
        <v>30</v>
      </c>
      <c r="D3" s="1" t="s">
        <v>17</v>
      </c>
      <c r="E3" s="1" t="s">
        <v>31</v>
      </c>
      <c r="F3" s="1" t="s">
        <v>20</v>
      </c>
      <c r="G3" s="1" t="s">
        <v>21</v>
      </c>
      <c r="H3" s="1" t="s">
        <v>22</v>
      </c>
      <c r="I3" s="1" t="s">
        <v>17</v>
      </c>
      <c r="J3" s="1" t="s">
        <v>17</v>
      </c>
      <c r="K3" s="2" t="s">
        <v>32</v>
      </c>
      <c r="L3" s="3" t="s">
        <v>33</v>
      </c>
      <c r="M3" s="1" t="s">
        <v>17</v>
      </c>
      <c r="N3" s="4" t="s">
        <v>34</v>
      </c>
      <c r="O3" s="1" t="s">
        <v>35</v>
      </c>
      <c r="P3" s="1" t="s">
        <v>28</v>
      </c>
    </row>
    <row r="4" ht="15.75" customHeight="1">
      <c r="A4" s="1" t="s">
        <v>36</v>
      </c>
      <c r="B4" s="1" t="s">
        <v>17</v>
      </c>
      <c r="D4" s="1" t="s">
        <v>17</v>
      </c>
      <c r="E4" s="1" t="s">
        <v>17</v>
      </c>
      <c r="F4" s="1" t="s">
        <v>37</v>
      </c>
      <c r="G4" s="1" t="s">
        <v>21</v>
      </c>
      <c r="H4" s="1" t="s">
        <v>22</v>
      </c>
      <c r="I4" s="1" t="s">
        <v>17</v>
      </c>
      <c r="J4" s="1" t="s">
        <v>17</v>
      </c>
      <c r="K4" s="5" t="s">
        <v>38</v>
      </c>
      <c r="L4" s="1" t="s">
        <v>39</v>
      </c>
      <c r="M4" s="1" t="s">
        <v>17</v>
      </c>
      <c r="N4" s="4" t="s">
        <v>40</v>
      </c>
      <c r="O4" s="1" t="s">
        <v>41</v>
      </c>
      <c r="P4" s="1" t="s">
        <v>28</v>
      </c>
    </row>
    <row r="5" ht="15.75" customHeight="1">
      <c r="A5" s="1" t="s">
        <v>42</v>
      </c>
      <c r="B5" s="1" t="s">
        <v>43</v>
      </c>
      <c r="C5" s="1" t="s">
        <v>44</v>
      </c>
      <c r="D5" s="1" t="s">
        <v>17</v>
      </c>
      <c r="E5" s="1" t="s">
        <v>42</v>
      </c>
      <c r="F5" s="1" t="s">
        <v>20</v>
      </c>
      <c r="G5" s="1" t="s">
        <v>21</v>
      </c>
      <c r="H5" s="1" t="s">
        <v>22</v>
      </c>
      <c r="I5" s="1" t="s">
        <v>45</v>
      </c>
      <c r="J5" s="1" t="s">
        <v>17</v>
      </c>
      <c r="K5" s="1" t="s">
        <v>46</v>
      </c>
      <c r="L5" s="1" t="s">
        <v>47</v>
      </c>
      <c r="M5" s="1" t="s">
        <v>48</v>
      </c>
      <c r="N5" s="4" t="s">
        <v>49</v>
      </c>
      <c r="O5" s="1" t="s">
        <v>50</v>
      </c>
      <c r="P5" s="1" t="s">
        <v>28</v>
      </c>
    </row>
    <row r="6" ht="15.75" customHeight="1">
      <c r="A6" s="1" t="s">
        <v>51</v>
      </c>
      <c r="B6" s="1" t="s">
        <v>17</v>
      </c>
      <c r="D6" s="1" t="s">
        <v>17</v>
      </c>
      <c r="E6" s="1" t="s">
        <v>17</v>
      </c>
      <c r="F6" s="1" t="s">
        <v>20</v>
      </c>
      <c r="G6" s="1" t="s">
        <v>21</v>
      </c>
      <c r="H6" s="1" t="s">
        <v>22</v>
      </c>
      <c r="I6" s="1" t="s">
        <v>17</v>
      </c>
      <c r="J6" s="1" t="s">
        <v>17</v>
      </c>
      <c r="K6" s="2" t="s">
        <v>52</v>
      </c>
      <c r="L6" s="1" t="s">
        <v>53</v>
      </c>
      <c r="M6" s="1" t="s">
        <v>54</v>
      </c>
      <c r="N6" s="4" t="s">
        <v>55</v>
      </c>
      <c r="O6" s="1" t="s">
        <v>41</v>
      </c>
      <c r="P6" s="1" t="s">
        <v>28</v>
      </c>
    </row>
    <row r="7" ht="15.75" customHeight="1">
      <c r="A7" s="1" t="s">
        <v>56</v>
      </c>
      <c r="B7" s="1" t="s">
        <v>57</v>
      </c>
      <c r="D7" s="1" t="s">
        <v>17</v>
      </c>
      <c r="E7" s="1" t="s">
        <v>58</v>
      </c>
      <c r="F7" s="1" t="s">
        <v>37</v>
      </c>
      <c r="G7" s="1" t="s">
        <v>21</v>
      </c>
      <c r="H7" s="1" t="s">
        <v>22</v>
      </c>
      <c r="I7" s="1" t="s">
        <v>23</v>
      </c>
      <c r="J7" s="1" t="s">
        <v>17</v>
      </c>
      <c r="K7" s="1" t="s">
        <v>59</v>
      </c>
      <c r="L7" s="1" t="s">
        <v>60</v>
      </c>
      <c r="M7" s="1" t="s">
        <v>17</v>
      </c>
      <c r="N7" s="4" t="s">
        <v>61</v>
      </c>
      <c r="O7" s="1" t="s">
        <v>62</v>
      </c>
      <c r="P7" s="1" t="s">
        <v>28</v>
      </c>
    </row>
    <row r="8" ht="15.75" customHeight="1">
      <c r="A8" s="1" t="s">
        <v>63</v>
      </c>
      <c r="B8" s="1" t="s">
        <v>64</v>
      </c>
      <c r="C8" s="1" t="s">
        <v>65</v>
      </c>
      <c r="D8" s="1" t="str">
        <f>image("https://lh3.googleusercontent.com/p/AF1QipPV2OhZ3-vhNV4tib4z9yqDVuN44DG4VDPgdbp2=s680-w680-h510")</f>
        <v/>
      </c>
      <c r="E8" s="1" t="s">
        <v>66</v>
      </c>
      <c r="F8" s="1" t="s">
        <v>67</v>
      </c>
      <c r="G8" s="1" t="s">
        <v>21</v>
      </c>
      <c r="H8" s="1" t="s">
        <v>22</v>
      </c>
      <c r="I8" s="1" t="s">
        <v>23</v>
      </c>
      <c r="J8" s="1" t="s">
        <v>17</v>
      </c>
      <c r="K8" s="1" t="s">
        <v>68</v>
      </c>
      <c r="L8" s="1" t="s">
        <v>69</v>
      </c>
      <c r="M8" s="1" t="s">
        <v>17</v>
      </c>
      <c r="N8" s="4" t="s">
        <v>70</v>
      </c>
      <c r="O8" s="1" t="s">
        <v>71</v>
      </c>
      <c r="P8" s="1" t="s">
        <v>28</v>
      </c>
    </row>
    <row r="9" ht="15.75" customHeight="1">
      <c r="A9" s="1" t="s">
        <v>72</v>
      </c>
      <c r="B9" s="1" t="s">
        <v>73</v>
      </c>
      <c r="C9" s="1" t="s">
        <v>74</v>
      </c>
      <c r="D9" s="1" t="str">
        <f>image("https://lh3.googleusercontent.com/p/AF1QipOtFzFGWYW8PF0JMvAr1CpwjekMsvCREdtdckUh=s680-w680-h510")</f>
        <v/>
      </c>
      <c r="E9" s="1" t="s">
        <v>75</v>
      </c>
      <c r="F9" s="1" t="s">
        <v>76</v>
      </c>
      <c r="G9" s="1" t="s">
        <v>21</v>
      </c>
      <c r="H9" s="1" t="s">
        <v>22</v>
      </c>
      <c r="I9" s="1" t="s">
        <v>23</v>
      </c>
      <c r="J9" s="1" t="s">
        <v>77</v>
      </c>
      <c r="K9" s="1" t="s">
        <v>78</v>
      </c>
      <c r="L9" s="1" t="s">
        <v>79</v>
      </c>
      <c r="M9" s="1" t="s">
        <v>17</v>
      </c>
      <c r="N9" s="1" t="s">
        <v>80</v>
      </c>
      <c r="O9" s="1" t="s">
        <v>81</v>
      </c>
      <c r="P9" s="1" t="s">
        <v>28</v>
      </c>
    </row>
    <row r="10" ht="15.75" customHeight="1">
      <c r="A10" s="1" t="s">
        <v>82</v>
      </c>
      <c r="B10" s="1" t="s">
        <v>83</v>
      </c>
      <c r="C10" s="1" t="s">
        <v>74</v>
      </c>
      <c r="D10" s="1" t="str">
        <f>image("https://lh3.googleusercontent.com/p/AF1QipO4g0v7-k0MI6U8mku2c-sqSY2Vd-g8arAIJHz-=s680-w680-h510")</f>
        <v/>
      </c>
      <c r="E10" s="1" t="s">
        <v>84</v>
      </c>
      <c r="F10" s="1" t="s">
        <v>85</v>
      </c>
      <c r="G10" s="1" t="s">
        <v>21</v>
      </c>
      <c r="H10" s="1" t="s">
        <v>22</v>
      </c>
      <c r="I10" s="1" t="s">
        <v>23</v>
      </c>
      <c r="J10" s="1" t="s">
        <v>86</v>
      </c>
      <c r="K10" s="1" t="s">
        <v>87</v>
      </c>
      <c r="L10" s="1" t="s">
        <v>88</v>
      </c>
      <c r="M10" s="1" t="s">
        <v>89</v>
      </c>
      <c r="N10" s="4" t="s">
        <v>90</v>
      </c>
      <c r="O10" s="1" t="s">
        <v>91</v>
      </c>
      <c r="P10" s="1" t="s">
        <v>28</v>
      </c>
    </row>
    <row r="11" ht="15.75" customHeight="1">
      <c r="A11" s="1" t="s">
        <v>92</v>
      </c>
      <c r="B11" s="1" t="s">
        <v>93</v>
      </c>
      <c r="C11" s="1" t="s">
        <v>44</v>
      </c>
      <c r="D11" s="1" t="str">
        <f>image("https://lh3.googleusercontent.com/p/AF1QipO_C66Bnvh3xic7kFea_lt4dfc-rG6e4kXOs10=s680-w680-h510")</f>
        <v/>
      </c>
      <c r="E11" s="1" t="s">
        <v>94</v>
      </c>
      <c r="F11" s="1" t="s">
        <v>95</v>
      </c>
      <c r="G11" s="1" t="s">
        <v>21</v>
      </c>
      <c r="H11" s="1" t="s">
        <v>22</v>
      </c>
      <c r="I11" s="1" t="s">
        <v>96</v>
      </c>
      <c r="J11" s="1" t="s">
        <v>97</v>
      </c>
      <c r="K11" s="1" t="s">
        <v>98</v>
      </c>
      <c r="L11" s="1" t="s">
        <v>99</v>
      </c>
      <c r="M11" s="1" t="s">
        <v>17</v>
      </c>
      <c r="N11" s="1" t="s">
        <v>100</v>
      </c>
      <c r="O11" s="1" t="s">
        <v>101</v>
      </c>
      <c r="P11" s="1" t="s">
        <v>28</v>
      </c>
    </row>
    <row r="12" ht="15.75" customHeight="1">
      <c r="A12" s="1" t="s">
        <v>102</v>
      </c>
      <c r="B12" s="1" t="s">
        <v>103</v>
      </c>
      <c r="D12" s="1" t="str">
        <f>image("https://lh3.googleusercontent.com/p/AF1QipPqGVw67CxrVVHtQvMK23nsb6DeZ7xHqh2K75VK=s680-w680-h510")</f>
        <v/>
      </c>
      <c r="E12" s="1" t="s">
        <v>104</v>
      </c>
      <c r="F12" s="1" t="s">
        <v>105</v>
      </c>
      <c r="G12" s="1" t="s">
        <v>21</v>
      </c>
      <c r="H12" s="1" t="s">
        <v>22</v>
      </c>
      <c r="I12" s="1" t="s">
        <v>96</v>
      </c>
      <c r="J12" s="4" t="s">
        <v>106</v>
      </c>
      <c r="K12" s="2" t="s">
        <v>107</v>
      </c>
      <c r="L12" s="1" t="s">
        <v>108</v>
      </c>
      <c r="M12" s="1" t="s">
        <v>17</v>
      </c>
      <c r="N12" s="1" t="s">
        <v>109</v>
      </c>
      <c r="O12" s="1" t="s">
        <v>110</v>
      </c>
      <c r="P12" s="1" t="s">
        <v>28</v>
      </c>
    </row>
    <row r="13" ht="15.75" customHeight="1">
      <c r="A13" s="1" t="s">
        <v>111</v>
      </c>
      <c r="B13" s="1" t="s">
        <v>112</v>
      </c>
      <c r="C13" s="1" t="s">
        <v>74</v>
      </c>
      <c r="D13" s="1" t="str">
        <f>image("https://lh3.googleusercontent.com/p/AF1QipNJ1Ojz7hD7OEjgVFsW_gcFdVtm3WJQLGeCiA4K=s680-w680-h510")</f>
        <v/>
      </c>
      <c r="E13" s="1" t="s">
        <v>113</v>
      </c>
      <c r="F13" s="1" t="s">
        <v>114</v>
      </c>
      <c r="G13" s="1" t="s">
        <v>21</v>
      </c>
      <c r="H13" s="1" t="s">
        <v>22</v>
      </c>
      <c r="I13" s="1" t="s">
        <v>23</v>
      </c>
      <c r="J13" s="4" t="s">
        <v>115</v>
      </c>
      <c r="K13" s="1" t="s">
        <v>116</v>
      </c>
      <c r="L13" s="6" t="s">
        <v>117</v>
      </c>
      <c r="M13" s="1" t="s">
        <v>17</v>
      </c>
      <c r="N13" s="4" t="s">
        <v>118</v>
      </c>
      <c r="O13" s="1" t="s">
        <v>119</v>
      </c>
      <c r="P13" s="1" t="s">
        <v>28</v>
      </c>
    </row>
    <row r="14" ht="15.75" customHeight="1">
      <c r="A14" s="1" t="s">
        <v>120</v>
      </c>
      <c r="B14" s="1" t="s">
        <v>17</v>
      </c>
      <c r="D14" s="1" t="s">
        <v>17</v>
      </c>
      <c r="E14" s="1" t="s">
        <v>17</v>
      </c>
      <c r="F14" s="1" t="s">
        <v>37</v>
      </c>
      <c r="G14" s="1" t="s">
        <v>21</v>
      </c>
      <c r="H14" s="1" t="s">
        <v>22</v>
      </c>
      <c r="I14" s="1" t="s">
        <v>17</v>
      </c>
      <c r="J14" s="4" t="s">
        <v>121</v>
      </c>
      <c r="K14" s="2" t="s">
        <v>122</v>
      </c>
      <c r="L14" s="1" t="s">
        <v>123</v>
      </c>
      <c r="M14" s="1" t="s">
        <v>17</v>
      </c>
      <c r="N14" s="4" t="s">
        <v>124</v>
      </c>
      <c r="O14" s="1" t="s">
        <v>41</v>
      </c>
      <c r="P14" s="1" t="s">
        <v>28</v>
      </c>
    </row>
    <row r="15" ht="15.75" customHeight="1">
      <c r="A15" s="1" t="s">
        <v>125</v>
      </c>
      <c r="B15" s="1" t="s">
        <v>83</v>
      </c>
      <c r="D15" s="1" t="str">
        <f>image("https://lh3.googleusercontent.com/p/AF1QipOj1YnnyPMWBVVyoKvsJ1-lx56NCXxth0EUL2im=s680-w680-h510")</f>
        <v/>
      </c>
      <c r="E15" s="1" t="s">
        <v>126</v>
      </c>
      <c r="F15" s="1" t="s">
        <v>127</v>
      </c>
      <c r="G15" s="1" t="s">
        <v>21</v>
      </c>
      <c r="H15" s="1" t="s">
        <v>22</v>
      </c>
      <c r="I15" s="1" t="s">
        <v>23</v>
      </c>
      <c r="J15" s="1" t="s">
        <v>128</v>
      </c>
      <c r="K15" s="1" t="s">
        <v>129</v>
      </c>
      <c r="L15" s="1" t="s">
        <v>130</v>
      </c>
      <c r="M15" s="1" t="s">
        <v>17</v>
      </c>
      <c r="N15" s="1" t="s">
        <v>131</v>
      </c>
      <c r="O15" s="1" t="s">
        <v>132</v>
      </c>
      <c r="P15" s="1" t="s">
        <v>28</v>
      </c>
    </row>
    <row r="16" ht="15.75" customHeight="1">
      <c r="A16" s="1" t="s">
        <v>133</v>
      </c>
      <c r="B16" s="1" t="s">
        <v>134</v>
      </c>
      <c r="C16" s="1" t="s">
        <v>65</v>
      </c>
      <c r="D16" s="1" t="str">
        <f>image("https://lh3.googleusercontent.com/p/AF1QipPVyu2XcPJhZOw3cyvoLAG_6fxci52-QwSfW5fL=s680-w680-h510")</f>
        <v/>
      </c>
      <c r="E16" s="1" t="s">
        <v>135</v>
      </c>
      <c r="F16" s="1" t="s">
        <v>136</v>
      </c>
      <c r="G16" s="1" t="s">
        <v>21</v>
      </c>
      <c r="H16" s="1" t="s">
        <v>22</v>
      </c>
      <c r="I16" s="1" t="s">
        <v>23</v>
      </c>
      <c r="J16" s="4" t="s">
        <v>137</v>
      </c>
      <c r="K16" s="1" t="s">
        <v>59</v>
      </c>
      <c r="L16" s="1" t="s">
        <v>60</v>
      </c>
      <c r="M16" s="1" t="s">
        <v>17</v>
      </c>
      <c r="N16" s="4" t="s">
        <v>61</v>
      </c>
      <c r="O16" s="1" t="s">
        <v>138</v>
      </c>
      <c r="P16" s="1" t="s">
        <v>28</v>
      </c>
    </row>
    <row r="17" ht="15.75" customHeight="1">
      <c r="A17" s="1" t="s">
        <v>139</v>
      </c>
      <c r="B17" s="1" t="s">
        <v>140</v>
      </c>
      <c r="D17" s="1" t="str">
        <f>image("data:image/gif;base64,R0lGODlhAQABAIAAAP///////yH5BAEKAAEALAAAAAABAAEAAAICTAEAOw==")</f>
        <v>#VALUE!</v>
      </c>
      <c r="E17" s="1" t="s">
        <v>141</v>
      </c>
      <c r="F17" s="1" t="s">
        <v>142</v>
      </c>
      <c r="G17" s="1" t="s">
        <v>21</v>
      </c>
      <c r="H17" s="1" t="s">
        <v>22</v>
      </c>
      <c r="I17" s="1" t="s">
        <v>17</v>
      </c>
      <c r="J17" s="1" t="s">
        <v>143</v>
      </c>
      <c r="K17" s="1" t="s">
        <v>144</v>
      </c>
      <c r="L17" s="1" t="s">
        <v>145</v>
      </c>
      <c r="M17" s="1" t="s">
        <v>17</v>
      </c>
      <c r="N17" s="1" t="s">
        <v>146</v>
      </c>
      <c r="O17" s="1" t="s">
        <v>147</v>
      </c>
      <c r="P17" s="1" t="s">
        <v>28</v>
      </c>
    </row>
    <row r="18" ht="15.75" customHeight="1">
      <c r="A18" s="1" t="s">
        <v>148</v>
      </c>
      <c r="B18" s="1" t="s">
        <v>149</v>
      </c>
      <c r="C18" s="7">
        <v>45417.0</v>
      </c>
      <c r="D18" s="1" t="str">
        <f>image("https://lh3.googleusercontent.com/p/AF1QipM5bg0vBq3ciVuIk_KeqlxpZhYGX8R8U0jkKqrc=s680-w680-h510")</f>
        <v/>
      </c>
      <c r="E18" s="1" t="s">
        <v>150</v>
      </c>
      <c r="F18" s="1" t="s">
        <v>151</v>
      </c>
      <c r="G18" s="1" t="s">
        <v>21</v>
      </c>
      <c r="H18" s="1" t="s">
        <v>22</v>
      </c>
      <c r="I18" s="1" t="s">
        <v>17</v>
      </c>
      <c r="J18" s="1" t="s">
        <v>152</v>
      </c>
      <c r="K18" s="1" t="s">
        <v>153</v>
      </c>
      <c r="L18" s="1" t="s">
        <v>154</v>
      </c>
      <c r="M18" s="1" t="s">
        <v>54</v>
      </c>
      <c r="N18" s="1" t="s">
        <v>155</v>
      </c>
      <c r="O18" s="1" t="s">
        <v>156</v>
      </c>
      <c r="P18" s="1" t="s">
        <v>28</v>
      </c>
    </row>
    <row r="19" ht="15.75" customHeight="1">
      <c r="A19" s="1" t="s">
        <v>157</v>
      </c>
      <c r="B19" s="1" t="s">
        <v>158</v>
      </c>
      <c r="D19" s="1" t="str">
        <f>image("https://lh3.googleusercontent.com/p/AF1QipPZwHhqv9jUbunG58ED5PqLA2AbxHRdXAHfj1SB=s680-w680-h510")</f>
        <v/>
      </c>
      <c r="E19" s="1" t="s">
        <v>159</v>
      </c>
      <c r="F19" s="1" t="s">
        <v>160</v>
      </c>
      <c r="G19" s="1" t="s">
        <v>21</v>
      </c>
      <c r="H19" s="1" t="s">
        <v>22</v>
      </c>
      <c r="I19" s="1" t="s">
        <v>17</v>
      </c>
      <c r="J19" s="1" t="s">
        <v>161</v>
      </c>
      <c r="K19" s="1" t="s">
        <v>162</v>
      </c>
      <c r="L19" s="1" t="s">
        <v>163</v>
      </c>
      <c r="M19" s="1" t="s">
        <v>17</v>
      </c>
      <c r="N19" s="4" t="s">
        <v>164</v>
      </c>
      <c r="O19" s="1" t="s">
        <v>165</v>
      </c>
      <c r="P19" s="1" t="s">
        <v>28</v>
      </c>
    </row>
    <row r="20" ht="15.75" customHeight="1">
      <c r="A20" s="1" t="s">
        <v>166</v>
      </c>
      <c r="B20" s="1" t="s">
        <v>167</v>
      </c>
      <c r="C20" s="1" t="s">
        <v>74</v>
      </c>
      <c r="D20" s="1" t="s">
        <v>17</v>
      </c>
      <c r="E20" s="1" t="s">
        <v>168</v>
      </c>
      <c r="F20" s="1" t="s">
        <v>169</v>
      </c>
      <c r="G20" s="1" t="s">
        <v>21</v>
      </c>
      <c r="H20" s="1" t="s">
        <v>22</v>
      </c>
      <c r="I20" s="1" t="s">
        <v>45</v>
      </c>
      <c r="J20" s="4" t="s">
        <v>170</v>
      </c>
      <c r="K20" s="1" t="s">
        <v>171</v>
      </c>
      <c r="L20" s="1" t="s">
        <v>172</v>
      </c>
      <c r="M20" s="1" t="s">
        <v>173</v>
      </c>
      <c r="N20" s="4" t="s">
        <v>174</v>
      </c>
      <c r="O20" s="1" t="s">
        <v>175</v>
      </c>
      <c r="P20" s="1" t="s">
        <v>28</v>
      </c>
    </row>
    <row r="21" ht="15.75" customHeight="1">
      <c r="A21" s="1" t="s">
        <v>176</v>
      </c>
      <c r="B21" s="1" t="s">
        <v>17</v>
      </c>
      <c r="C21" s="1" t="s">
        <v>18</v>
      </c>
      <c r="D21" s="1" t="s">
        <v>17</v>
      </c>
      <c r="E21" s="1" t="s">
        <v>177</v>
      </c>
      <c r="F21" s="1" t="s">
        <v>178</v>
      </c>
      <c r="G21" s="1" t="s">
        <v>21</v>
      </c>
      <c r="H21" s="1" t="s">
        <v>22</v>
      </c>
      <c r="I21" s="1" t="s">
        <v>23</v>
      </c>
      <c r="J21" s="8"/>
      <c r="K21" s="1" t="s">
        <v>179</v>
      </c>
      <c r="L21" s="1" t="s">
        <v>180</v>
      </c>
      <c r="M21" s="1" t="s">
        <v>173</v>
      </c>
      <c r="N21" s="4" t="s">
        <v>174</v>
      </c>
      <c r="O21" s="1" t="s">
        <v>175</v>
      </c>
      <c r="P21" s="1" t="s">
        <v>28</v>
      </c>
    </row>
    <row r="22" ht="15.75" customHeight="1">
      <c r="A22" s="1" t="s">
        <v>181</v>
      </c>
      <c r="B22" s="1" t="s">
        <v>17</v>
      </c>
      <c r="D22" s="1" t="s">
        <v>17</v>
      </c>
      <c r="E22" s="1" t="s">
        <v>17</v>
      </c>
      <c r="F22" s="1" t="s">
        <v>37</v>
      </c>
      <c r="G22" s="1" t="s">
        <v>21</v>
      </c>
      <c r="H22" s="1" t="s">
        <v>22</v>
      </c>
      <c r="I22" s="1" t="s">
        <v>17</v>
      </c>
      <c r="J22" s="4" t="s">
        <v>182</v>
      </c>
      <c r="K22" s="1" t="s">
        <v>17</v>
      </c>
      <c r="L22" s="1" t="s">
        <v>183</v>
      </c>
      <c r="M22" s="1" t="s">
        <v>17</v>
      </c>
      <c r="N22" s="1" t="s">
        <v>17</v>
      </c>
      <c r="O22" s="1" t="s">
        <v>41</v>
      </c>
      <c r="P22" s="1" t="s">
        <v>28</v>
      </c>
    </row>
    <row r="23" ht="15.75" customHeight="1">
      <c r="A23" s="1" t="s">
        <v>184</v>
      </c>
      <c r="B23" s="1" t="s">
        <v>17</v>
      </c>
      <c r="D23" s="1" t="str">
        <f>image("https://lh3.googleusercontent.com/p/AF1QipM4F6CbZH1IbvXwJwVIDQLQutTRWjZTL4pfmw2q=s680-w680-h510")</f>
        <v/>
      </c>
      <c r="E23" s="1" t="s">
        <v>185</v>
      </c>
      <c r="F23" s="1" t="s">
        <v>186</v>
      </c>
      <c r="G23" s="1" t="s">
        <v>21</v>
      </c>
      <c r="H23" s="1" t="s">
        <v>22</v>
      </c>
      <c r="I23" s="1" t="s">
        <v>96</v>
      </c>
      <c r="J23" s="4" t="s">
        <v>187</v>
      </c>
      <c r="K23" s="2" t="s">
        <v>188</v>
      </c>
      <c r="L23" s="1" t="s">
        <v>189</v>
      </c>
      <c r="M23" s="1" t="s">
        <v>54</v>
      </c>
      <c r="N23" s="4" t="s">
        <v>190</v>
      </c>
      <c r="O23" s="1" t="s">
        <v>191</v>
      </c>
      <c r="P23" s="1" t="s">
        <v>28</v>
      </c>
    </row>
    <row r="24" ht="15.75" customHeight="1">
      <c r="A24" s="1" t="s">
        <v>192</v>
      </c>
      <c r="B24" s="1" t="s">
        <v>17</v>
      </c>
      <c r="C24" s="1" t="s">
        <v>193</v>
      </c>
      <c r="D24" s="1" t="s">
        <v>17</v>
      </c>
      <c r="E24" s="1" t="s">
        <v>192</v>
      </c>
      <c r="F24" s="1" t="s">
        <v>194</v>
      </c>
      <c r="G24" s="1" t="s">
        <v>21</v>
      </c>
      <c r="H24" s="1" t="s">
        <v>22</v>
      </c>
      <c r="I24" s="1" t="s">
        <v>17</v>
      </c>
      <c r="J24" s="4" t="s">
        <v>195</v>
      </c>
      <c r="K24" s="1" t="s">
        <v>196</v>
      </c>
      <c r="L24" s="1" t="s">
        <v>197</v>
      </c>
      <c r="M24" s="1" t="s">
        <v>17</v>
      </c>
      <c r="N24" s="1" t="s">
        <v>198</v>
      </c>
      <c r="O24" s="1" t="s">
        <v>199</v>
      </c>
      <c r="P24" s="1" t="s">
        <v>28</v>
      </c>
    </row>
    <row r="25" ht="15.75" customHeight="1">
      <c r="A25" s="1" t="s">
        <v>200</v>
      </c>
      <c r="B25" s="1" t="s">
        <v>17</v>
      </c>
      <c r="D25" s="1" t="s">
        <v>17</v>
      </c>
      <c r="E25" s="1" t="s">
        <v>17</v>
      </c>
      <c r="F25" s="1" t="s">
        <v>20</v>
      </c>
      <c r="G25" s="1" t="s">
        <v>21</v>
      </c>
      <c r="H25" s="1" t="s">
        <v>22</v>
      </c>
      <c r="I25" s="1" t="s">
        <v>17</v>
      </c>
      <c r="J25" s="4" t="s">
        <v>201</v>
      </c>
      <c r="K25" s="2" t="s">
        <v>202</v>
      </c>
      <c r="L25" s="1" t="s">
        <v>203</v>
      </c>
      <c r="M25" s="4" t="s">
        <v>204</v>
      </c>
      <c r="N25" s="1" t="s">
        <v>17</v>
      </c>
      <c r="O25" s="1" t="s">
        <v>41</v>
      </c>
      <c r="P25" s="1" t="s">
        <v>28</v>
      </c>
    </row>
    <row r="26" ht="15.75" customHeight="1">
      <c r="A26" s="1" t="s">
        <v>205</v>
      </c>
      <c r="B26" s="1" t="s">
        <v>17</v>
      </c>
      <c r="C26" s="7">
        <v>45417.0</v>
      </c>
      <c r="D26" s="1" t="str">
        <f>image("https://lh3.googleusercontent.com/p/AF1QipM3qBy9tAnykQSdXldvPjK6bI9lUeitjye_YWHK=s680-w680-h510")</f>
        <v/>
      </c>
      <c r="E26" s="1" t="s">
        <v>206</v>
      </c>
      <c r="F26" s="1" t="s">
        <v>207</v>
      </c>
      <c r="G26" s="1" t="s">
        <v>21</v>
      </c>
      <c r="H26" s="1" t="s">
        <v>22</v>
      </c>
      <c r="I26" s="1" t="s">
        <v>17</v>
      </c>
      <c r="J26" s="1" t="s">
        <v>17</v>
      </c>
      <c r="K26" s="1" t="s">
        <v>208</v>
      </c>
      <c r="L26" s="1" t="s">
        <v>209</v>
      </c>
      <c r="M26" s="1" t="s">
        <v>210</v>
      </c>
      <c r="N26" s="1" t="s">
        <v>211</v>
      </c>
      <c r="O26" s="1" t="s">
        <v>212</v>
      </c>
      <c r="P26" s="1" t="s">
        <v>28</v>
      </c>
    </row>
    <row r="27" ht="15.75" customHeight="1">
      <c r="A27" s="1" t="s">
        <v>213</v>
      </c>
      <c r="B27" s="1" t="s">
        <v>214</v>
      </c>
      <c r="C27" s="1" t="s">
        <v>215</v>
      </c>
      <c r="D27" s="1" t="s">
        <v>17</v>
      </c>
      <c r="E27" s="1" t="s">
        <v>216</v>
      </c>
      <c r="F27" s="1" t="s">
        <v>217</v>
      </c>
      <c r="G27" s="1" t="s">
        <v>21</v>
      </c>
      <c r="H27" s="1" t="s">
        <v>22</v>
      </c>
      <c r="I27" s="1" t="s">
        <v>45</v>
      </c>
      <c r="J27" s="1" t="s">
        <v>17</v>
      </c>
      <c r="K27" s="1" t="s">
        <v>218</v>
      </c>
      <c r="L27" s="1" t="s">
        <v>219</v>
      </c>
      <c r="M27" s="1" t="s">
        <v>173</v>
      </c>
      <c r="N27" s="4" t="s">
        <v>174</v>
      </c>
      <c r="O27" s="1" t="s">
        <v>175</v>
      </c>
      <c r="P27" s="1" t="s">
        <v>28</v>
      </c>
    </row>
    <row r="28" ht="15.75" customHeight="1">
      <c r="A28" s="1" t="s">
        <v>220</v>
      </c>
      <c r="B28" s="1" t="s">
        <v>17</v>
      </c>
      <c r="D28" s="1" t="s">
        <v>17</v>
      </c>
      <c r="E28" s="9" t="s">
        <v>221</v>
      </c>
      <c r="F28" s="1" t="s">
        <v>20</v>
      </c>
      <c r="G28" s="1" t="s">
        <v>21</v>
      </c>
      <c r="H28" s="1" t="s">
        <v>22</v>
      </c>
      <c r="I28" s="1" t="s">
        <v>17</v>
      </c>
      <c r="J28" s="4" t="s">
        <v>222</v>
      </c>
      <c r="K28" s="1" t="s">
        <v>223</v>
      </c>
      <c r="L28" s="1" t="s">
        <v>224</v>
      </c>
      <c r="M28" s="1" t="s">
        <v>17</v>
      </c>
      <c r="N28" s="4" t="s">
        <v>225</v>
      </c>
      <c r="O28" s="1" t="s">
        <v>41</v>
      </c>
      <c r="P28" s="1" t="s">
        <v>28</v>
      </c>
    </row>
    <row r="29" ht="15.75" customHeight="1">
      <c r="A29" s="1" t="s">
        <v>226</v>
      </c>
      <c r="B29" s="1" t="s">
        <v>17</v>
      </c>
      <c r="D29" s="1" t="s">
        <v>17</v>
      </c>
      <c r="E29" s="10" t="s">
        <v>227</v>
      </c>
      <c r="F29" s="1" t="s">
        <v>20</v>
      </c>
      <c r="G29" s="1" t="s">
        <v>21</v>
      </c>
      <c r="H29" s="1" t="s">
        <v>22</v>
      </c>
      <c r="I29" s="1" t="s">
        <v>17</v>
      </c>
      <c r="J29" s="4" t="s">
        <v>228</v>
      </c>
      <c r="K29" s="11" t="s">
        <v>229</v>
      </c>
      <c r="L29" s="12"/>
      <c r="M29" s="1" t="s">
        <v>210</v>
      </c>
      <c r="N29" s="1" t="s">
        <v>17</v>
      </c>
      <c r="O29" s="1" t="s">
        <v>41</v>
      </c>
      <c r="P29" s="1" t="s">
        <v>28</v>
      </c>
    </row>
    <row r="30" ht="15.75" customHeight="1">
      <c r="A30" s="1" t="s">
        <v>230</v>
      </c>
      <c r="B30" s="1" t="s">
        <v>17</v>
      </c>
      <c r="D30" s="1" t="s">
        <v>17</v>
      </c>
      <c r="E30" s="1" t="s">
        <v>17</v>
      </c>
      <c r="F30" s="1" t="s">
        <v>20</v>
      </c>
      <c r="G30" s="1" t="s">
        <v>21</v>
      </c>
      <c r="H30" s="1" t="s">
        <v>22</v>
      </c>
      <c r="I30" s="1" t="s">
        <v>17</v>
      </c>
      <c r="J30" s="4" t="s">
        <v>231</v>
      </c>
      <c r="K30" s="1" t="s">
        <v>17</v>
      </c>
      <c r="L30" s="1" t="s">
        <v>232</v>
      </c>
      <c r="M30" s="1" t="s">
        <v>17</v>
      </c>
      <c r="N30" s="1" t="s">
        <v>17</v>
      </c>
      <c r="O30" s="1" t="s">
        <v>41</v>
      </c>
      <c r="P30" s="1" t="s">
        <v>28</v>
      </c>
    </row>
    <row r="31" ht="15.75" customHeight="1">
      <c r="A31" s="1" t="s">
        <v>233</v>
      </c>
      <c r="B31" s="1" t="s">
        <v>17</v>
      </c>
      <c r="D31" s="1" t="s">
        <v>17</v>
      </c>
      <c r="E31" s="1" t="s">
        <v>17</v>
      </c>
      <c r="F31" s="1" t="s">
        <v>20</v>
      </c>
      <c r="G31" s="1" t="s">
        <v>21</v>
      </c>
      <c r="H31" s="1" t="s">
        <v>22</v>
      </c>
      <c r="I31" s="1" t="s">
        <v>17</v>
      </c>
      <c r="J31" s="4" t="s">
        <v>234</v>
      </c>
      <c r="K31" s="2" t="s">
        <v>235</v>
      </c>
      <c r="L31" s="1" t="s">
        <v>236</v>
      </c>
      <c r="M31" s="1" t="s">
        <v>17</v>
      </c>
      <c r="N31" s="4" t="s">
        <v>237</v>
      </c>
      <c r="O31" s="1" t="s">
        <v>41</v>
      </c>
      <c r="P31" s="1" t="s">
        <v>28</v>
      </c>
    </row>
    <row r="32" ht="15.75" customHeight="1">
      <c r="A32" s="1" t="s">
        <v>238</v>
      </c>
      <c r="B32" s="1" t="s">
        <v>17</v>
      </c>
      <c r="D32" s="1" t="s">
        <v>17</v>
      </c>
      <c r="E32" s="1" t="s">
        <v>17</v>
      </c>
      <c r="F32" s="1" t="s">
        <v>20</v>
      </c>
      <c r="G32" s="1" t="s">
        <v>21</v>
      </c>
      <c r="H32" s="1" t="s">
        <v>22</v>
      </c>
      <c r="I32" s="1" t="s">
        <v>17</v>
      </c>
      <c r="J32" s="1" t="s">
        <v>17</v>
      </c>
      <c r="K32" s="2" t="s">
        <v>239</v>
      </c>
      <c r="L32" s="1" t="s">
        <v>17</v>
      </c>
      <c r="M32" s="1" t="s">
        <v>17</v>
      </c>
      <c r="N32" s="1" t="s">
        <v>17</v>
      </c>
      <c r="O32" s="1" t="s">
        <v>41</v>
      </c>
      <c r="P32" s="1" t="s">
        <v>28</v>
      </c>
    </row>
    <row r="33" ht="15.75" customHeight="1">
      <c r="A33" s="1" t="s">
        <v>240</v>
      </c>
      <c r="B33" s="1" t="s">
        <v>17</v>
      </c>
      <c r="D33" s="1" t="s">
        <v>17</v>
      </c>
      <c r="E33" s="1" t="s">
        <v>17</v>
      </c>
      <c r="F33" s="1" t="s">
        <v>20</v>
      </c>
      <c r="G33" s="1" t="s">
        <v>21</v>
      </c>
      <c r="H33" s="1" t="s">
        <v>22</v>
      </c>
      <c r="I33" s="1" t="s">
        <v>17</v>
      </c>
      <c r="J33" s="4" t="s">
        <v>241</v>
      </c>
      <c r="K33" s="13" t="s">
        <v>242</v>
      </c>
      <c r="L33" s="1" t="s">
        <v>243</v>
      </c>
      <c r="M33" s="1" t="s">
        <v>54</v>
      </c>
      <c r="N33" s="4" t="s">
        <v>244</v>
      </c>
      <c r="O33" s="1" t="s">
        <v>41</v>
      </c>
      <c r="P33" s="1" t="s">
        <v>28</v>
      </c>
    </row>
    <row r="34" ht="15.75" customHeight="1">
      <c r="A34" s="1" t="s">
        <v>245</v>
      </c>
      <c r="B34" s="1" t="s">
        <v>17</v>
      </c>
      <c r="D34" s="1" t="s">
        <v>17</v>
      </c>
      <c r="E34" s="1" t="s">
        <v>17</v>
      </c>
      <c r="F34" s="1" t="s">
        <v>20</v>
      </c>
      <c r="G34" s="1" t="s">
        <v>21</v>
      </c>
      <c r="H34" s="1" t="s">
        <v>22</v>
      </c>
      <c r="I34" s="1" t="s">
        <v>17</v>
      </c>
      <c r="J34" s="4" t="s">
        <v>246</v>
      </c>
      <c r="K34" s="2" t="s">
        <v>247</v>
      </c>
      <c r="L34" s="1" t="s">
        <v>248</v>
      </c>
      <c r="M34" s="1" t="s">
        <v>249</v>
      </c>
      <c r="N34" s="4" t="s">
        <v>250</v>
      </c>
      <c r="O34" s="1" t="s">
        <v>41</v>
      </c>
      <c r="P34" s="1" t="s">
        <v>28</v>
      </c>
    </row>
    <row r="35" ht="15.75" customHeight="1">
      <c r="A35" s="1" t="s">
        <v>251</v>
      </c>
      <c r="B35" s="1" t="s">
        <v>17</v>
      </c>
      <c r="D35" s="1" t="s">
        <v>17</v>
      </c>
      <c r="E35" s="1" t="s">
        <v>17</v>
      </c>
      <c r="F35" s="1" t="s">
        <v>20</v>
      </c>
      <c r="G35" s="1" t="s">
        <v>21</v>
      </c>
      <c r="H35" s="1" t="s">
        <v>22</v>
      </c>
      <c r="I35" s="1" t="s">
        <v>17</v>
      </c>
      <c r="J35" s="4" t="s">
        <v>252</v>
      </c>
      <c r="K35" s="14" t="s">
        <v>253</v>
      </c>
      <c r="L35" s="1" t="s">
        <v>254</v>
      </c>
      <c r="M35" s="1" t="s">
        <v>255</v>
      </c>
      <c r="N35" s="4" t="s">
        <v>256</v>
      </c>
      <c r="O35" s="1" t="s">
        <v>41</v>
      </c>
      <c r="P35" s="1" t="s">
        <v>28</v>
      </c>
    </row>
    <row r="36" ht="15.75" customHeight="1">
      <c r="A36" s="1" t="s">
        <v>257</v>
      </c>
      <c r="B36" s="1" t="s">
        <v>17</v>
      </c>
      <c r="D36" s="1" t="s">
        <v>17</v>
      </c>
      <c r="E36" s="1" t="s">
        <v>17</v>
      </c>
      <c r="F36" s="1" t="s">
        <v>20</v>
      </c>
      <c r="G36" s="1" t="s">
        <v>21</v>
      </c>
      <c r="H36" s="1" t="s">
        <v>22</v>
      </c>
      <c r="I36" s="1" t="s">
        <v>17</v>
      </c>
      <c r="J36" s="15" t="s">
        <v>258</v>
      </c>
      <c r="K36" s="16" t="s">
        <v>259</v>
      </c>
      <c r="L36" s="17" t="s">
        <v>260</v>
      </c>
      <c r="M36" s="1" t="s">
        <v>210</v>
      </c>
      <c r="N36" s="1" t="s">
        <v>17</v>
      </c>
      <c r="O36" s="1" t="s">
        <v>41</v>
      </c>
      <c r="P36" s="1" t="s">
        <v>28</v>
      </c>
    </row>
    <row r="37" ht="15.75" customHeight="1">
      <c r="A37" s="1" t="s">
        <v>261</v>
      </c>
      <c r="B37" s="1" t="s">
        <v>17</v>
      </c>
      <c r="D37" s="1" t="s">
        <v>17</v>
      </c>
      <c r="E37" s="18" t="s">
        <v>262</v>
      </c>
      <c r="F37" s="1" t="s">
        <v>20</v>
      </c>
      <c r="G37" s="1" t="s">
        <v>21</v>
      </c>
      <c r="H37" s="1" t="s">
        <v>22</v>
      </c>
      <c r="I37" s="1" t="s">
        <v>17</v>
      </c>
      <c r="J37" s="4" t="s">
        <v>263</v>
      </c>
      <c r="K37" s="11" t="s">
        <v>264</v>
      </c>
      <c r="L37" s="1" t="s">
        <v>17</v>
      </c>
      <c r="M37" s="1" t="s">
        <v>17</v>
      </c>
      <c r="N37" s="1" t="s">
        <v>17</v>
      </c>
      <c r="O37" s="1" t="s">
        <v>41</v>
      </c>
      <c r="P37" s="1" t="s">
        <v>28</v>
      </c>
    </row>
    <row r="38" ht="15.75" customHeight="1">
      <c r="A38" s="1" t="s">
        <v>265</v>
      </c>
      <c r="B38" s="1" t="s">
        <v>17</v>
      </c>
      <c r="D38" s="1" t="s">
        <v>17</v>
      </c>
      <c r="E38" s="1" t="s">
        <v>17</v>
      </c>
      <c r="F38" s="1" t="s">
        <v>20</v>
      </c>
      <c r="G38" s="1" t="s">
        <v>21</v>
      </c>
      <c r="H38" s="1" t="s">
        <v>22</v>
      </c>
      <c r="I38" s="1" t="s">
        <v>17</v>
      </c>
      <c r="J38" s="4" t="s">
        <v>266</v>
      </c>
      <c r="K38" s="1" t="s">
        <v>17</v>
      </c>
      <c r="L38" s="1" t="s">
        <v>267</v>
      </c>
      <c r="M38" s="1" t="s">
        <v>268</v>
      </c>
      <c r="N38" s="4" t="s">
        <v>269</v>
      </c>
      <c r="O38" s="1" t="s">
        <v>41</v>
      </c>
      <c r="P38" s="1" t="s">
        <v>28</v>
      </c>
    </row>
    <row r="39" ht="15.75" customHeight="1">
      <c r="A39" s="1" t="s">
        <v>270</v>
      </c>
      <c r="B39" s="1" t="s">
        <v>17</v>
      </c>
      <c r="D39" s="1" t="s">
        <v>17</v>
      </c>
      <c r="E39" s="19" t="s">
        <v>271</v>
      </c>
      <c r="F39" s="1" t="s">
        <v>20</v>
      </c>
      <c r="G39" s="1" t="s">
        <v>21</v>
      </c>
      <c r="H39" s="1" t="s">
        <v>22</v>
      </c>
      <c r="I39" s="1" t="s">
        <v>17</v>
      </c>
      <c r="J39" s="1" t="s">
        <v>17</v>
      </c>
      <c r="K39" s="5" t="s">
        <v>272</v>
      </c>
      <c r="L39" s="1" t="s">
        <v>273</v>
      </c>
      <c r="M39" s="1" t="s">
        <v>17</v>
      </c>
      <c r="N39" s="4" t="s">
        <v>274</v>
      </c>
      <c r="O39" s="1" t="s">
        <v>41</v>
      </c>
      <c r="P39" s="1" t="s">
        <v>28</v>
      </c>
    </row>
    <row r="40" ht="15.75" customHeight="1">
      <c r="A40" s="1" t="s">
        <v>275</v>
      </c>
      <c r="B40" s="1" t="s">
        <v>17</v>
      </c>
      <c r="D40" s="1" t="s">
        <v>17</v>
      </c>
      <c r="E40" s="1" t="s">
        <v>17</v>
      </c>
      <c r="F40" s="1" t="s">
        <v>276</v>
      </c>
      <c r="G40" s="1" t="s">
        <v>21</v>
      </c>
      <c r="H40" s="1" t="s">
        <v>22</v>
      </c>
      <c r="I40" s="1" t="s">
        <v>17</v>
      </c>
      <c r="J40" s="4" t="s">
        <v>277</v>
      </c>
      <c r="K40" s="20" t="s">
        <v>278</v>
      </c>
      <c r="L40" s="20" t="s">
        <v>279</v>
      </c>
      <c r="M40" s="1" t="s">
        <v>17</v>
      </c>
      <c r="N40" s="1" t="s">
        <v>17</v>
      </c>
      <c r="O40" s="1" t="s">
        <v>41</v>
      </c>
      <c r="P40" s="1" t="s">
        <v>28</v>
      </c>
    </row>
    <row r="41" ht="15.75" customHeight="1">
      <c r="A41" s="1" t="s">
        <v>280</v>
      </c>
      <c r="B41" s="1" t="s">
        <v>17</v>
      </c>
      <c r="D41" s="1" t="str">
        <f>image("https://lh3.googleusercontent.com/p/AF1QipOQo-rqyleFVYCnP5MyzaU6JYIStRG5S-uF5Cmy=s680-w680-h510")</f>
        <v/>
      </c>
      <c r="E41" s="1" t="s">
        <v>281</v>
      </c>
      <c r="F41" s="1" t="s">
        <v>276</v>
      </c>
      <c r="G41" s="1" t="s">
        <v>21</v>
      </c>
      <c r="H41" s="1" t="s">
        <v>22</v>
      </c>
      <c r="I41" s="1" t="s">
        <v>17</v>
      </c>
      <c r="J41" s="1" t="s">
        <v>17</v>
      </c>
      <c r="K41" s="1" t="s">
        <v>17</v>
      </c>
      <c r="L41" s="21" t="s">
        <v>282</v>
      </c>
      <c r="M41" s="1" t="s">
        <v>17</v>
      </c>
      <c r="N41" s="4" t="s">
        <v>283</v>
      </c>
      <c r="O41" s="1" t="s">
        <v>41</v>
      </c>
      <c r="P41" s="1" t="s">
        <v>28</v>
      </c>
    </row>
    <row r="42" ht="15.75" customHeight="1">
      <c r="A42" s="1" t="s">
        <v>284</v>
      </c>
      <c r="B42" s="1" t="s">
        <v>17</v>
      </c>
      <c r="D42" s="1" t="s">
        <v>17</v>
      </c>
      <c r="E42" s="1" t="s">
        <v>17</v>
      </c>
      <c r="F42" s="1" t="s">
        <v>37</v>
      </c>
      <c r="G42" s="1" t="s">
        <v>21</v>
      </c>
      <c r="H42" s="1" t="s">
        <v>22</v>
      </c>
      <c r="I42" s="1" t="s">
        <v>17</v>
      </c>
      <c r="J42" s="1" t="s">
        <v>17</v>
      </c>
      <c r="K42" s="1" t="s">
        <v>17</v>
      </c>
      <c r="L42" s="22" t="s">
        <v>285</v>
      </c>
      <c r="M42" s="4" t="s">
        <v>286</v>
      </c>
      <c r="N42" s="4" t="s">
        <v>287</v>
      </c>
      <c r="O42" s="1" t="s">
        <v>41</v>
      </c>
      <c r="P42" s="1" t="s">
        <v>28</v>
      </c>
    </row>
    <row r="43" ht="15.75" customHeight="1">
      <c r="A43" s="1" t="s">
        <v>288</v>
      </c>
      <c r="B43" s="1" t="s">
        <v>17</v>
      </c>
      <c r="D43" s="1" t="s">
        <v>17</v>
      </c>
      <c r="E43" s="1" t="s">
        <v>17</v>
      </c>
      <c r="F43" s="1" t="s">
        <v>37</v>
      </c>
      <c r="G43" s="1" t="s">
        <v>21</v>
      </c>
      <c r="H43" s="1" t="s">
        <v>22</v>
      </c>
      <c r="I43" s="1" t="s">
        <v>17</v>
      </c>
      <c r="J43" s="4" t="s">
        <v>289</v>
      </c>
      <c r="K43" s="23" t="s">
        <v>290</v>
      </c>
      <c r="L43" s="14" t="s">
        <v>291</v>
      </c>
      <c r="M43" s="1" t="s">
        <v>292</v>
      </c>
      <c r="N43" s="4" t="s">
        <v>293</v>
      </c>
      <c r="O43" s="1" t="s">
        <v>41</v>
      </c>
      <c r="P43" s="1" t="s">
        <v>28</v>
      </c>
    </row>
    <row r="44" ht="15.75" customHeight="1">
      <c r="A44" s="1" t="s">
        <v>294</v>
      </c>
      <c r="B44" s="1" t="s">
        <v>17</v>
      </c>
      <c r="D44" s="1" t="s">
        <v>17</v>
      </c>
      <c r="E44" s="1" t="s">
        <v>17</v>
      </c>
      <c r="F44" s="1" t="s">
        <v>37</v>
      </c>
      <c r="G44" s="1" t="s">
        <v>21</v>
      </c>
      <c r="H44" s="1" t="s">
        <v>22</v>
      </c>
      <c r="I44" s="1" t="s">
        <v>17</v>
      </c>
      <c r="J44" s="4" t="s">
        <v>295</v>
      </c>
      <c r="K44" s="5" t="s">
        <v>296</v>
      </c>
      <c r="L44" s="24" t="s">
        <v>297</v>
      </c>
      <c r="M44" s="1" t="s">
        <v>298</v>
      </c>
      <c r="N44" s="4" t="s">
        <v>299</v>
      </c>
      <c r="O44" s="1" t="s">
        <v>41</v>
      </c>
      <c r="P44" s="1" t="s">
        <v>28</v>
      </c>
    </row>
    <row r="45" ht="15.75" customHeight="1">
      <c r="A45" s="1" t="s">
        <v>300</v>
      </c>
      <c r="B45" s="1" t="s">
        <v>17</v>
      </c>
      <c r="D45" s="1" t="s">
        <v>17</v>
      </c>
      <c r="E45" s="25" t="s">
        <v>301</v>
      </c>
      <c r="F45" s="1" t="s">
        <v>37</v>
      </c>
      <c r="G45" s="1" t="s">
        <v>21</v>
      </c>
      <c r="H45" s="1" t="s">
        <v>22</v>
      </c>
      <c r="I45" s="1" t="s">
        <v>17</v>
      </c>
      <c r="J45" s="4" t="s">
        <v>302</v>
      </c>
      <c r="K45" s="26" t="s">
        <v>303</v>
      </c>
      <c r="L45" s="22" t="s">
        <v>304</v>
      </c>
      <c r="M45" s="1" t="s">
        <v>17</v>
      </c>
      <c r="N45" s="4" t="s">
        <v>305</v>
      </c>
      <c r="O45" s="1" t="s">
        <v>41</v>
      </c>
      <c r="P45" s="1" t="s">
        <v>28</v>
      </c>
    </row>
    <row r="46" ht="15.75" customHeight="1">
      <c r="A46" s="1" t="s">
        <v>306</v>
      </c>
      <c r="B46" s="1" t="s">
        <v>307</v>
      </c>
      <c r="C46" s="1" t="s">
        <v>193</v>
      </c>
      <c r="D46" s="1" t="str">
        <f>image("https://lh3.googleusercontent.com/p/AF1QipMeKMufTIig_iPRfyGY2O7edIrsiKvpmYdnWoR6=s680-w680-h510")</f>
        <v/>
      </c>
      <c r="E46" s="27"/>
      <c r="F46" s="1" t="s">
        <v>308</v>
      </c>
      <c r="G46" s="1" t="s">
        <v>21</v>
      </c>
      <c r="H46" s="1" t="s">
        <v>22</v>
      </c>
      <c r="I46" s="1" t="s">
        <v>309</v>
      </c>
      <c r="J46" s="1" t="s">
        <v>17</v>
      </c>
      <c r="K46" s="1" t="s">
        <v>310</v>
      </c>
      <c r="L46" s="1" t="s">
        <v>17</v>
      </c>
      <c r="M46" s="1" t="s">
        <v>17</v>
      </c>
      <c r="N46" s="1" t="s">
        <v>311</v>
      </c>
      <c r="O46" s="1" t="s">
        <v>312</v>
      </c>
      <c r="P46" s="1" t="s">
        <v>28</v>
      </c>
    </row>
    <row r="47" ht="15.75" customHeight="1">
      <c r="A47" s="1" t="s">
        <v>313</v>
      </c>
      <c r="B47" s="1" t="s">
        <v>17</v>
      </c>
      <c r="C47" s="28">
        <v>45417.0</v>
      </c>
      <c r="D47" s="1" t="s">
        <v>17</v>
      </c>
      <c r="E47" s="1" t="s">
        <v>314</v>
      </c>
      <c r="F47" s="1" t="s">
        <v>315</v>
      </c>
      <c r="G47" s="1" t="s">
        <v>21</v>
      </c>
      <c r="H47" s="1" t="s">
        <v>22</v>
      </c>
      <c r="I47" s="1" t="s">
        <v>17</v>
      </c>
      <c r="J47" s="4" t="s">
        <v>316</v>
      </c>
      <c r="K47" s="1" t="s">
        <v>317</v>
      </c>
      <c r="L47" s="1" t="s">
        <v>318</v>
      </c>
      <c r="M47" s="1" t="s">
        <v>17</v>
      </c>
      <c r="N47" s="4" t="s">
        <v>319</v>
      </c>
      <c r="O47" s="1" t="s">
        <v>320</v>
      </c>
      <c r="P47" s="1" t="s">
        <v>28</v>
      </c>
    </row>
    <row r="48" ht="15.75" customHeight="1">
      <c r="A48" s="1" t="s">
        <v>321</v>
      </c>
      <c r="B48" s="1" t="s">
        <v>17</v>
      </c>
      <c r="D48" s="1" t="str">
        <f>image("https://lh3.googleusercontent.com/p/AF1QipOu6BbX34Fp3ZXdNEXDHGaH_dR4kilwojR1_0Vf=s680-w680-h510")</f>
        <v/>
      </c>
      <c r="E48" s="1" t="s">
        <v>322</v>
      </c>
      <c r="F48" s="1" t="s">
        <v>323</v>
      </c>
      <c r="G48" s="1" t="s">
        <v>21</v>
      </c>
      <c r="H48" s="1" t="s">
        <v>22</v>
      </c>
      <c r="I48" s="1" t="s">
        <v>17</v>
      </c>
      <c r="J48" s="1"/>
      <c r="K48" s="1" t="s">
        <v>324</v>
      </c>
      <c r="L48" s="29" t="s">
        <v>304</v>
      </c>
      <c r="M48" s="1" t="s">
        <v>325</v>
      </c>
      <c r="N48" s="1" t="s">
        <v>326</v>
      </c>
      <c r="O48" s="1" t="s">
        <v>327</v>
      </c>
      <c r="P48" s="1" t="s">
        <v>28</v>
      </c>
    </row>
    <row r="49" ht="15.75" customHeight="1">
      <c r="A49" s="1" t="s">
        <v>328</v>
      </c>
      <c r="B49" s="1" t="s">
        <v>17</v>
      </c>
      <c r="D49" s="1" t="s">
        <v>17</v>
      </c>
      <c r="E49" s="1" t="s">
        <v>17</v>
      </c>
      <c r="F49" s="1" t="s">
        <v>37</v>
      </c>
      <c r="G49" s="1" t="s">
        <v>21</v>
      </c>
      <c r="H49" s="1" t="s">
        <v>22</v>
      </c>
      <c r="I49" s="1" t="s">
        <v>17</v>
      </c>
      <c r="J49" s="4" t="s">
        <v>329</v>
      </c>
      <c r="K49" s="30" t="s">
        <v>330</v>
      </c>
      <c r="L49" s="31" t="s">
        <v>331</v>
      </c>
      <c r="M49" s="1" t="s">
        <v>54</v>
      </c>
      <c r="N49" s="1" t="s">
        <v>17</v>
      </c>
      <c r="O49" s="1" t="s">
        <v>41</v>
      </c>
      <c r="P49" s="1" t="s">
        <v>28</v>
      </c>
    </row>
    <row r="50" ht="15.75" customHeight="1">
      <c r="A50" s="1" t="s">
        <v>332</v>
      </c>
      <c r="B50" s="1" t="s">
        <v>17</v>
      </c>
      <c r="D50" s="1" t="s">
        <v>17</v>
      </c>
      <c r="E50" s="1" t="s">
        <v>17</v>
      </c>
      <c r="F50" s="1" t="s">
        <v>37</v>
      </c>
      <c r="G50" s="1" t="s">
        <v>21</v>
      </c>
      <c r="H50" s="1" t="s">
        <v>22</v>
      </c>
      <c r="I50" s="1" t="s">
        <v>17</v>
      </c>
      <c r="J50" s="1" t="s">
        <v>17</v>
      </c>
      <c r="K50" s="32" t="s">
        <v>333</v>
      </c>
      <c r="L50" s="22" t="s">
        <v>334</v>
      </c>
      <c r="M50" s="1" t="s">
        <v>17</v>
      </c>
      <c r="N50" s="4" t="s">
        <v>335</v>
      </c>
      <c r="O50" s="1" t="s">
        <v>41</v>
      </c>
      <c r="P50" s="1" t="s">
        <v>28</v>
      </c>
    </row>
    <row r="51" ht="15.75" customHeight="1">
      <c r="A51" s="1" t="s">
        <v>336</v>
      </c>
      <c r="B51" s="1" t="s">
        <v>17</v>
      </c>
      <c r="D51" s="1" t="s">
        <v>17</v>
      </c>
      <c r="E51" s="1" t="s">
        <v>17</v>
      </c>
      <c r="F51" s="1" t="s">
        <v>337</v>
      </c>
      <c r="G51" s="1" t="s">
        <v>21</v>
      </c>
      <c r="H51" s="1" t="s">
        <v>22</v>
      </c>
      <c r="I51" s="1" t="s">
        <v>17</v>
      </c>
      <c r="J51" s="4" t="s">
        <v>338</v>
      </c>
      <c r="K51" s="2" t="s">
        <v>339</v>
      </c>
      <c r="L51" s="22" t="s">
        <v>340</v>
      </c>
      <c r="M51" s="1" t="s">
        <v>17</v>
      </c>
      <c r="N51" s="1" t="s">
        <v>341</v>
      </c>
      <c r="O51" s="1" t="s">
        <v>41</v>
      </c>
      <c r="P51" s="1" t="s">
        <v>28</v>
      </c>
    </row>
    <row r="52" ht="15.75" customHeight="1">
      <c r="A52" s="1" t="s">
        <v>342</v>
      </c>
      <c r="B52" s="1" t="s">
        <v>83</v>
      </c>
      <c r="C52" s="1" t="s">
        <v>44</v>
      </c>
      <c r="D52" s="1" t="str">
        <f>image("https://lh3.googleusercontent.com/p/AF1QipOJIzwiwJAw0GRUWuMuVJ6FRfV2YktCqSdfs18=s680-w680-h510")</f>
        <v/>
      </c>
      <c r="E52" s="1" t="s">
        <v>343</v>
      </c>
      <c r="F52" s="1" t="s">
        <v>337</v>
      </c>
      <c r="G52" s="1" t="s">
        <v>21</v>
      </c>
      <c r="H52" s="1" t="s">
        <v>22</v>
      </c>
      <c r="I52" s="1" t="s">
        <v>23</v>
      </c>
      <c r="J52" s="1" t="s">
        <v>344</v>
      </c>
      <c r="K52" s="1" t="s">
        <v>345</v>
      </c>
      <c r="L52" s="1" t="s">
        <v>346</v>
      </c>
      <c r="M52" s="1" t="s">
        <v>17</v>
      </c>
      <c r="N52" s="4" t="s">
        <v>347</v>
      </c>
      <c r="O52" s="1" t="s">
        <v>348</v>
      </c>
      <c r="P52" s="1" t="s">
        <v>28</v>
      </c>
    </row>
    <row r="53" ht="15.75" customHeight="1">
      <c r="A53" s="1" t="s">
        <v>349</v>
      </c>
      <c r="B53" s="1" t="s">
        <v>350</v>
      </c>
      <c r="D53" s="1" t="str">
        <f>image("https://lh3.googleusercontent.com/proxy/rryd0FEL7T81yTM79AmkvsQRiqV9vlkj44CfUkOi3q1E5V8utxZ7h9pmPuTjNXvIamRLrLj-_9K5XBFa4-kj0DMItROMiwtnYxJaMYVP9W0bWjWgS8mQ_ovRoNjLscCrNPkkc5eKLvEoUUa5pdzwrUkF9BdnZuGCvXW6ug=s680-w680-h510")</f>
        <v/>
      </c>
      <c r="E53" s="1" t="s">
        <v>351</v>
      </c>
      <c r="F53" s="1" t="s">
        <v>352</v>
      </c>
      <c r="G53" s="1" t="s">
        <v>21</v>
      </c>
      <c r="H53" s="1" t="s">
        <v>22</v>
      </c>
      <c r="I53" s="1" t="s">
        <v>23</v>
      </c>
      <c r="J53" s="4" t="s">
        <v>353</v>
      </c>
      <c r="K53" s="1" t="s">
        <v>354</v>
      </c>
      <c r="L53" s="33" t="s">
        <v>355</v>
      </c>
      <c r="M53" s="1" t="s">
        <v>17</v>
      </c>
      <c r="N53" s="1" t="s">
        <v>17</v>
      </c>
      <c r="O53" s="1" t="s">
        <v>356</v>
      </c>
      <c r="P53" s="1" t="s">
        <v>28</v>
      </c>
    </row>
    <row r="54" ht="15.75" customHeight="1">
      <c r="A54" s="1" t="s">
        <v>357</v>
      </c>
      <c r="B54" s="1" t="s">
        <v>358</v>
      </c>
      <c r="D54" s="1" t="s">
        <v>17</v>
      </c>
      <c r="E54" s="1" t="s">
        <v>359</v>
      </c>
      <c r="F54" s="1" t="s">
        <v>360</v>
      </c>
      <c r="G54" s="1" t="s">
        <v>21</v>
      </c>
      <c r="H54" s="1" t="s">
        <v>22</v>
      </c>
      <c r="I54" s="1" t="s">
        <v>23</v>
      </c>
      <c r="J54" s="4" t="s">
        <v>361</v>
      </c>
      <c r="K54" s="1" t="s">
        <v>362</v>
      </c>
      <c r="L54" s="22" t="s">
        <v>363</v>
      </c>
      <c r="M54" s="1" t="s">
        <v>17</v>
      </c>
      <c r="N54" s="4" t="s">
        <v>364</v>
      </c>
      <c r="O54" s="1" t="s">
        <v>365</v>
      </c>
      <c r="P54" s="1" t="s">
        <v>28</v>
      </c>
    </row>
    <row r="55" ht="15.75" customHeight="1">
      <c r="A55" s="1" t="s">
        <v>366</v>
      </c>
      <c r="B55" s="1" t="s">
        <v>367</v>
      </c>
      <c r="D55" s="1" t="s">
        <v>17</v>
      </c>
      <c r="E55" s="1" t="s">
        <v>368</v>
      </c>
      <c r="F55" s="1" t="s">
        <v>369</v>
      </c>
      <c r="G55" s="1" t="s">
        <v>21</v>
      </c>
      <c r="H55" s="1" t="s">
        <v>22</v>
      </c>
      <c r="I55" s="1" t="s">
        <v>17</v>
      </c>
      <c r="J55" s="4" t="s">
        <v>370</v>
      </c>
      <c r="K55" s="1" t="s">
        <v>371</v>
      </c>
      <c r="L55" s="1" t="s">
        <v>17</v>
      </c>
      <c r="M55" s="1" t="s">
        <v>372</v>
      </c>
      <c r="N55" s="1" t="s">
        <v>373</v>
      </c>
      <c r="O55" s="1" t="s">
        <v>374</v>
      </c>
      <c r="P55" s="1" t="s">
        <v>28</v>
      </c>
    </row>
    <row r="56" ht="15.75" customHeight="1">
      <c r="A56" s="1" t="s">
        <v>375</v>
      </c>
      <c r="B56" s="1" t="s">
        <v>376</v>
      </c>
      <c r="D56" s="1" t="s">
        <v>17</v>
      </c>
      <c r="E56" s="1" t="s">
        <v>377</v>
      </c>
      <c r="F56" s="1" t="s">
        <v>378</v>
      </c>
      <c r="G56" s="1" t="s">
        <v>21</v>
      </c>
      <c r="H56" s="1" t="s">
        <v>22</v>
      </c>
      <c r="I56" s="1" t="s">
        <v>23</v>
      </c>
      <c r="J56" s="4" t="s">
        <v>379</v>
      </c>
      <c r="K56" s="1" t="s">
        <v>380</v>
      </c>
      <c r="L56" s="1" t="s">
        <v>381</v>
      </c>
      <c r="M56" s="1" t="s">
        <v>382</v>
      </c>
      <c r="N56" s="4" t="s">
        <v>383</v>
      </c>
      <c r="O56" s="1" t="s">
        <v>384</v>
      </c>
      <c r="P56" s="1" t="s">
        <v>28</v>
      </c>
    </row>
    <row r="57" ht="15.75" customHeight="1">
      <c r="A57" s="1" t="s">
        <v>385</v>
      </c>
      <c r="B57" s="1" t="s">
        <v>386</v>
      </c>
      <c r="C57" s="1" t="s">
        <v>215</v>
      </c>
      <c r="D57" s="1" t="str">
        <f>image("https://lh3.googleusercontent.com/p/AF1QipOwoemwnjkTuUdxJIuCDeOn2s6mzvLTzjPjs9qn=s680-w680-h510")</f>
        <v/>
      </c>
      <c r="E57" s="1" t="s">
        <v>387</v>
      </c>
      <c r="F57" s="1" t="s">
        <v>388</v>
      </c>
      <c r="G57" s="1" t="s">
        <v>21</v>
      </c>
      <c r="H57" s="1" t="s">
        <v>22</v>
      </c>
      <c r="I57" s="1" t="s">
        <v>389</v>
      </c>
      <c r="J57" s="1" t="s">
        <v>390</v>
      </c>
      <c r="K57" s="1" t="s">
        <v>391</v>
      </c>
      <c r="L57" s="22" t="s">
        <v>392</v>
      </c>
      <c r="M57" s="1" t="s">
        <v>17</v>
      </c>
      <c r="N57" s="1" t="s">
        <v>393</v>
      </c>
      <c r="O57" s="1" t="s">
        <v>394</v>
      </c>
      <c r="P57" s="1" t="s">
        <v>28</v>
      </c>
    </row>
    <row r="58" ht="15.75" customHeight="1">
      <c r="A58" s="1" t="s">
        <v>395</v>
      </c>
      <c r="B58" s="1" t="s">
        <v>83</v>
      </c>
      <c r="D58" s="1" t="s">
        <v>17</v>
      </c>
      <c r="E58" s="1" t="s">
        <v>396</v>
      </c>
      <c r="F58" s="1" t="s">
        <v>397</v>
      </c>
      <c r="G58" s="1" t="s">
        <v>21</v>
      </c>
      <c r="H58" s="1" t="s">
        <v>22</v>
      </c>
      <c r="I58" s="1" t="s">
        <v>389</v>
      </c>
      <c r="J58" s="1" t="s">
        <v>398</v>
      </c>
      <c r="K58" s="1" t="s">
        <v>399</v>
      </c>
      <c r="L58" s="1" t="s">
        <v>400</v>
      </c>
      <c r="M58" s="1" t="s">
        <v>17</v>
      </c>
      <c r="N58" s="4" t="s">
        <v>401</v>
      </c>
      <c r="O58" s="1" t="s">
        <v>402</v>
      </c>
      <c r="P58" s="1" t="s">
        <v>28</v>
      </c>
    </row>
    <row r="59" ht="15.75" customHeight="1">
      <c r="A59" s="1" t="s">
        <v>403</v>
      </c>
      <c r="B59" s="1" t="s">
        <v>17</v>
      </c>
      <c r="D59" s="1" t="s">
        <v>17</v>
      </c>
      <c r="E59" s="1" t="s">
        <v>17</v>
      </c>
      <c r="F59" s="1" t="s">
        <v>17</v>
      </c>
      <c r="G59" s="1" t="s">
        <v>21</v>
      </c>
      <c r="H59" s="1" t="s">
        <v>22</v>
      </c>
      <c r="I59" s="1" t="s">
        <v>17</v>
      </c>
      <c r="J59" s="4" t="s">
        <v>404</v>
      </c>
      <c r="K59" s="1" t="s">
        <v>17</v>
      </c>
      <c r="L59" s="1" t="s">
        <v>17</v>
      </c>
      <c r="M59" s="1" t="s">
        <v>17</v>
      </c>
      <c r="N59" s="4" t="s">
        <v>405</v>
      </c>
      <c r="O59" s="1" t="s">
        <v>41</v>
      </c>
      <c r="P59" s="1" t="s">
        <v>28</v>
      </c>
    </row>
    <row r="60" ht="15.75" customHeight="1">
      <c r="A60" s="1" t="s">
        <v>406</v>
      </c>
      <c r="B60" s="1" t="s">
        <v>407</v>
      </c>
      <c r="D60" s="1" t="str">
        <f>image("https://lh3.googleusercontent.com/p/AF1QipMLcwPsw9iq-ZV8coKotdSW0l31wBKPAuvSfKb2=s680-w680-h510")</f>
        <v/>
      </c>
      <c r="E60" s="1" t="s">
        <v>408</v>
      </c>
      <c r="F60" s="1" t="s">
        <v>409</v>
      </c>
      <c r="G60" s="1" t="s">
        <v>21</v>
      </c>
      <c r="H60" s="1" t="s">
        <v>22</v>
      </c>
      <c r="I60" s="1" t="s">
        <v>389</v>
      </c>
      <c r="J60" s="1" t="s">
        <v>410</v>
      </c>
      <c r="K60" s="1" t="s">
        <v>17</v>
      </c>
      <c r="L60" s="1" t="s">
        <v>411</v>
      </c>
      <c r="M60" s="1" t="s">
        <v>17</v>
      </c>
      <c r="N60" s="4" t="s">
        <v>412</v>
      </c>
      <c r="O60" s="1" t="s">
        <v>413</v>
      </c>
      <c r="P60" s="1" t="s">
        <v>28</v>
      </c>
    </row>
    <row r="61" ht="15.75" customHeight="1">
      <c r="A61" s="1" t="s">
        <v>414</v>
      </c>
      <c r="B61" s="1" t="s">
        <v>415</v>
      </c>
      <c r="D61" s="1" t="str">
        <f>image("https://lh3.googleusercontent.com/p/AF1QipMxjObCTxpfy-VuLeUUAwwnGiUeS3BXrPaGIuKF=s680-w680-h510")</f>
        <v/>
      </c>
      <c r="E61" s="1" t="s">
        <v>416</v>
      </c>
      <c r="F61" s="1" t="s">
        <v>417</v>
      </c>
      <c r="G61" s="1" t="s">
        <v>21</v>
      </c>
      <c r="H61" s="1" t="s">
        <v>22</v>
      </c>
      <c r="I61" s="1" t="s">
        <v>23</v>
      </c>
      <c r="J61" s="4" t="s">
        <v>418</v>
      </c>
      <c r="K61" s="1" t="s">
        <v>419</v>
      </c>
      <c r="L61" s="34" t="s">
        <v>420</v>
      </c>
      <c r="M61" s="1" t="s">
        <v>17</v>
      </c>
      <c r="N61" s="4" t="s">
        <v>421</v>
      </c>
      <c r="O61" s="1" t="s">
        <v>422</v>
      </c>
      <c r="P61" s="1" t="s">
        <v>28</v>
      </c>
    </row>
    <row r="62" ht="15.75" customHeight="1">
      <c r="A62" s="1" t="s">
        <v>423</v>
      </c>
      <c r="B62" s="1" t="s">
        <v>17</v>
      </c>
      <c r="D62" s="1" t="s">
        <v>17</v>
      </c>
      <c r="E62" s="1" t="s">
        <v>17</v>
      </c>
      <c r="F62" s="1" t="s">
        <v>37</v>
      </c>
      <c r="G62" s="1" t="s">
        <v>21</v>
      </c>
      <c r="H62" s="1" t="s">
        <v>22</v>
      </c>
      <c r="I62" s="1" t="s">
        <v>17</v>
      </c>
      <c r="J62" s="4" t="s">
        <v>424</v>
      </c>
      <c r="K62" s="35" t="s">
        <v>425</v>
      </c>
      <c r="L62" s="1" t="s">
        <v>426</v>
      </c>
      <c r="M62" s="1" t="s">
        <v>17</v>
      </c>
      <c r="N62" s="1" t="s">
        <v>427</v>
      </c>
      <c r="O62" s="1" t="s">
        <v>41</v>
      </c>
      <c r="P62" s="1" t="s">
        <v>28</v>
      </c>
    </row>
    <row r="63" ht="15.75" customHeight="1">
      <c r="A63" s="1" t="s">
        <v>428</v>
      </c>
      <c r="B63" s="1" t="s">
        <v>429</v>
      </c>
      <c r="D63" s="1" t="str">
        <f>image("https://lh3.googleusercontent.com/p/AF1QipP32dFzA1bbd34Elvs3aKoS5oB5fR6mPl-K--eJ=s680-w680-h510")</f>
        <v/>
      </c>
      <c r="E63" s="1" t="s">
        <v>430</v>
      </c>
      <c r="F63" s="1" t="s">
        <v>431</v>
      </c>
      <c r="G63" s="1" t="s">
        <v>21</v>
      </c>
      <c r="H63" s="1" t="s">
        <v>22</v>
      </c>
      <c r="I63" s="1" t="s">
        <v>17</v>
      </c>
      <c r="J63" s="4" t="s">
        <v>432</v>
      </c>
      <c r="K63" s="1" t="s">
        <v>433</v>
      </c>
      <c r="L63" s="22" t="s">
        <v>434</v>
      </c>
      <c r="M63" s="1" t="s">
        <v>17</v>
      </c>
      <c r="N63" s="4" t="s">
        <v>435</v>
      </c>
      <c r="O63" s="1" t="s">
        <v>436</v>
      </c>
      <c r="P63" s="1" t="s">
        <v>28</v>
      </c>
    </row>
    <row r="64" ht="15.75" customHeight="1">
      <c r="A64" s="1" t="s">
        <v>437</v>
      </c>
      <c r="B64" s="1" t="s">
        <v>438</v>
      </c>
      <c r="C64" s="1" t="s">
        <v>74</v>
      </c>
      <c r="D64" s="1" t="s">
        <v>17</v>
      </c>
      <c r="E64" s="1" t="s">
        <v>439</v>
      </c>
      <c r="F64" s="1" t="s">
        <v>440</v>
      </c>
      <c r="G64" s="1" t="s">
        <v>21</v>
      </c>
      <c r="H64" s="1" t="s">
        <v>22</v>
      </c>
      <c r="I64" s="1" t="s">
        <v>23</v>
      </c>
      <c r="J64" s="1" t="s">
        <v>17</v>
      </c>
      <c r="K64" s="1" t="s">
        <v>441</v>
      </c>
      <c r="L64" s="1" t="s">
        <v>17</v>
      </c>
      <c r="M64" s="1" t="s">
        <v>17</v>
      </c>
      <c r="N64" s="1" t="s">
        <v>442</v>
      </c>
      <c r="O64" s="1" t="s">
        <v>443</v>
      </c>
      <c r="P64" s="1" t="s">
        <v>28</v>
      </c>
    </row>
    <row r="65" ht="15.75" customHeight="1">
      <c r="A65" s="1" t="s">
        <v>444</v>
      </c>
      <c r="B65" s="1" t="s">
        <v>445</v>
      </c>
      <c r="D65" s="1" t="s">
        <v>17</v>
      </c>
      <c r="E65" s="1" t="s">
        <v>446</v>
      </c>
      <c r="F65" s="1" t="s">
        <v>447</v>
      </c>
      <c r="G65" s="1" t="s">
        <v>21</v>
      </c>
      <c r="H65" s="1" t="s">
        <v>22</v>
      </c>
      <c r="I65" s="1" t="s">
        <v>17</v>
      </c>
      <c r="J65" s="4" t="s">
        <v>448</v>
      </c>
      <c r="K65" s="1" t="s">
        <v>449</v>
      </c>
      <c r="L65" s="1" t="s">
        <v>17</v>
      </c>
      <c r="M65" s="1" t="s">
        <v>450</v>
      </c>
      <c r="N65" s="1" t="s">
        <v>17</v>
      </c>
      <c r="O65" s="1" t="s">
        <v>451</v>
      </c>
      <c r="P65" s="1" t="s">
        <v>28</v>
      </c>
    </row>
    <row r="66" ht="15.75" customHeight="1">
      <c r="A66" s="1" t="s">
        <v>452</v>
      </c>
      <c r="B66" s="1" t="s">
        <v>453</v>
      </c>
      <c r="C66" s="1" t="s">
        <v>74</v>
      </c>
      <c r="D66" s="1" t="str">
        <f>image("https://lh3.googleusercontent.com/p/AF1QipN9EFaM1VF5zjJJIbPz4Hg41iq04CYOtokBi_AE=s680-w680-h510")</f>
        <v/>
      </c>
      <c r="E66" s="1" t="s">
        <v>454</v>
      </c>
      <c r="F66" s="1" t="s">
        <v>455</v>
      </c>
      <c r="G66" s="1" t="s">
        <v>21</v>
      </c>
      <c r="H66" s="1" t="s">
        <v>22</v>
      </c>
      <c r="I66" s="1" t="s">
        <v>17</v>
      </c>
      <c r="J66" s="4" t="s">
        <v>456</v>
      </c>
      <c r="K66" s="1" t="s">
        <v>17</v>
      </c>
      <c r="L66" s="22" t="s">
        <v>457</v>
      </c>
      <c r="M66" s="1" t="s">
        <v>17</v>
      </c>
      <c r="N66" s="4" t="s">
        <v>458</v>
      </c>
      <c r="O66" s="1" t="s">
        <v>459</v>
      </c>
      <c r="P66" s="1" t="s">
        <v>28</v>
      </c>
    </row>
    <row r="67" ht="15.75" customHeight="1">
      <c r="A67" s="1" t="s">
        <v>460</v>
      </c>
      <c r="B67" s="1" t="s">
        <v>17</v>
      </c>
      <c r="D67" s="1" t="s">
        <v>17</v>
      </c>
      <c r="E67" s="1" t="s">
        <v>461</v>
      </c>
      <c r="F67" s="1" t="s">
        <v>462</v>
      </c>
      <c r="G67" s="1" t="s">
        <v>21</v>
      </c>
      <c r="H67" s="1" t="s">
        <v>22</v>
      </c>
      <c r="I67" s="1" t="s">
        <v>463</v>
      </c>
      <c r="J67" s="4" t="s">
        <v>464</v>
      </c>
      <c r="K67" s="1" t="s">
        <v>465</v>
      </c>
      <c r="L67" s="1" t="s">
        <v>17</v>
      </c>
      <c r="M67" s="1" t="s">
        <v>17</v>
      </c>
      <c r="N67" s="1" t="s">
        <v>466</v>
      </c>
      <c r="O67" s="1" t="s">
        <v>467</v>
      </c>
      <c r="P67" s="1" t="s">
        <v>28</v>
      </c>
    </row>
    <row r="68" ht="15.75" customHeight="1">
      <c r="A68" s="1" t="s">
        <v>468</v>
      </c>
      <c r="B68" s="1" t="s">
        <v>83</v>
      </c>
      <c r="D68" s="1" t="str">
        <f>image("https://lh3.googleusercontent.com/p/AF1QipN9iYBlFyB7Q_mkeVZE6pmXzorHzQenhTvh_RdT=s680-w680-h510")</f>
        <v/>
      </c>
      <c r="E68" s="1" t="s">
        <v>469</v>
      </c>
      <c r="F68" s="1" t="s">
        <v>470</v>
      </c>
      <c r="G68" s="1" t="s">
        <v>21</v>
      </c>
      <c r="H68" s="1" t="s">
        <v>22</v>
      </c>
      <c r="I68" s="1" t="s">
        <v>389</v>
      </c>
      <c r="J68" s="1" t="s">
        <v>471</v>
      </c>
      <c r="K68" s="1" t="s">
        <v>472</v>
      </c>
      <c r="L68" s="1" t="s">
        <v>473</v>
      </c>
      <c r="M68" s="1" t="s">
        <v>210</v>
      </c>
      <c r="N68" s="1" t="s">
        <v>474</v>
      </c>
      <c r="O68" s="1" t="s">
        <v>475</v>
      </c>
      <c r="P68" s="1" t="s">
        <v>28</v>
      </c>
    </row>
    <row r="69" ht="15.75" customHeight="1">
      <c r="A69" s="1" t="s">
        <v>476</v>
      </c>
      <c r="B69" s="1" t="s">
        <v>17</v>
      </c>
      <c r="D69" s="1" t="s">
        <v>17</v>
      </c>
      <c r="E69" s="1" t="s">
        <v>17</v>
      </c>
      <c r="F69" s="1" t="s">
        <v>37</v>
      </c>
      <c r="G69" s="1" t="s">
        <v>21</v>
      </c>
      <c r="H69" s="1" t="s">
        <v>22</v>
      </c>
      <c r="I69" s="1" t="s">
        <v>17</v>
      </c>
      <c r="J69" s="4" t="s">
        <v>477</v>
      </c>
      <c r="K69" s="5" t="s">
        <v>478</v>
      </c>
      <c r="L69" s="22" t="s">
        <v>479</v>
      </c>
      <c r="M69" s="1" t="s">
        <v>17</v>
      </c>
      <c r="N69" s="4" t="s">
        <v>480</v>
      </c>
      <c r="O69" s="1" t="s">
        <v>41</v>
      </c>
      <c r="P69" s="1" t="s">
        <v>28</v>
      </c>
    </row>
    <row r="70" ht="15.75" customHeight="1">
      <c r="A70" s="1" t="s">
        <v>481</v>
      </c>
      <c r="B70" s="1" t="s">
        <v>482</v>
      </c>
      <c r="D70" s="1" t="s">
        <v>17</v>
      </c>
      <c r="E70" s="1" t="s">
        <v>430</v>
      </c>
      <c r="F70" s="1" t="s">
        <v>483</v>
      </c>
      <c r="G70" s="1" t="s">
        <v>21</v>
      </c>
      <c r="H70" s="1" t="s">
        <v>22</v>
      </c>
      <c r="I70" s="1" t="s">
        <v>17</v>
      </c>
      <c r="J70" s="4" t="s">
        <v>484</v>
      </c>
      <c r="K70" s="1" t="s">
        <v>485</v>
      </c>
      <c r="L70" s="22" t="s">
        <v>434</v>
      </c>
      <c r="M70" s="1" t="s">
        <v>17</v>
      </c>
      <c r="N70" s="4" t="s">
        <v>435</v>
      </c>
      <c r="O70" s="1" t="s">
        <v>486</v>
      </c>
      <c r="P70" s="1" t="s">
        <v>28</v>
      </c>
    </row>
    <row r="71" ht="15.75" customHeight="1">
      <c r="A71" s="1" t="s">
        <v>487</v>
      </c>
      <c r="B71" s="1" t="s">
        <v>17</v>
      </c>
      <c r="D71" s="1" t="str">
        <f>image("https://lh3.googleusercontent.com/p/AF1QipM4ickRgMHZ0wWKCDYp8prUyayeiahmIT6Huf_2=s680-w680-h510")</f>
        <v/>
      </c>
      <c r="E71" s="1" t="s">
        <v>488</v>
      </c>
      <c r="F71" s="1" t="s">
        <v>489</v>
      </c>
      <c r="G71" s="1" t="s">
        <v>21</v>
      </c>
      <c r="H71" s="1" t="s">
        <v>22</v>
      </c>
      <c r="I71" s="1" t="s">
        <v>17</v>
      </c>
      <c r="J71" s="4" t="s">
        <v>490</v>
      </c>
      <c r="K71" s="1" t="s">
        <v>491</v>
      </c>
      <c r="L71" s="22" t="s">
        <v>492</v>
      </c>
      <c r="M71" s="1" t="s">
        <v>54</v>
      </c>
      <c r="N71" s="1" t="s">
        <v>493</v>
      </c>
      <c r="O71" s="1" t="s">
        <v>494</v>
      </c>
      <c r="P71" s="1" t="s">
        <v>28</v>
      </c>
    </row>
    <row r="72" ht="15.75" customHeight="1">
      <c r="A72" s="1" t="s">
        <v>495</v>
      </c>
      <c r="B72" s="1" t="s">
        <v>496</v>
      </c>
      <c r="D72" s="1" t="str">
        <f>image("https://lh3.googleusercontent.com/p/AF1QipPhy3enXcXInmOg351lY98pi7DhrwBd1aPNjZpa=s680-w680-h510")</f>
        <v/>
      </c>
      <c r="E72" s="1" t="s">
        <v>497</v>
      </c>
      <c r="F72" s="1" t="s">
        <v>498</v>
      </c>
      <c r="G72" s="1" t="s">
        <v>21</v>
      </c>
      <c r="H72" s="1" t="s">
        <v>22</v>
      </c>
      <c r="I72" s="1" t="s">
        <v>17</v>
      </c>
      <c r="J72" s="4" t="s">
        <v>499</v>
      </c>
      <c r="K72" s="1" t="s">
        <v>500</v>
      </c>
      <c r="L72" s="36" t="s">
        <v>501</v>
      </c>
      <c r="M72" s="1" t="s">
        <v>17</v>
      </c>
      <c r="N72" s="1" t="s">
        <v>502</v>
      </c>
      <c r="O72" s="1" t="s">
        <v>503</v>
      </c>
      <c r="P72" s="1" t="s">
        <v>28</v>
      </c>
    </row>
    <row r="73" ht="15.75" customHeight="1">
      <c r="A73" s="1" t="s">
        <v>504</v>
      </c>
      <c r="B73" s="1" t="s">
        <v>505</v>
      </c>
      <c r="D73" s="1" t="s">
        <v>17</v>
      </c>
      <c r="E73" s="1" t="s">
        <v>506</v>
      </c>
      <c r="F73" s="1" t="s">
        <v>507</v>
      </c>
      <c r="G73" s="1" t="s">
        <v>21</v>
      </c>
      <c r="H73" s="1" t="s">
        <v>22</v>
      </c>
      <c r="I73" s="1" t="s">
        <v>23</v>
      </c>
      <c r="J73" s="1" t="s">
        <v>508</v>
      </c>
      <c r="K73" s="1" t="s">
        <v>509</v>
      </c>
      <c r="L73" s="1" t="s">
        <v>510</v>
      </c>
      <c r="M73" s="1" t="s">
        <v>17</v>
      </c>
      <c r="N73" s="4" t="s">
        <v>511</v>
      </c>
      <c r="O73" s="1" t="s">
        <v>512</v>
      </c>
      <c r="P73" s="1" t="s">
        <v>28</v>
      </c>
    </row>
    <row r="74" ht="15.75" customHeight="1">
      <c r="A74" s="1" t="s">
        <v>513</v>
      </c>
      <c r="B74" s="1" t="s">
        <v>514</v>
      </c>
      <c r="D74" s="1" t="str">
        <f>image("https://lh3.googleusercontent.com/p/AF1QipMHSRK3Lu015ocgqEfrhYNYbkH6T_jc8s8polKZ=s680-w680-h510")</f>
        <v/>
      </c>
      <c r="E74" s="1" t="s">
        <v>515</v>
      </c>
      <c r="F74" s="1" t="s">
        <v>516</v>
      </c>
      <c r="G74" s="1" t="s">
        <v>21</v>
      </c>
      <c r="H74" s="1" t="s">
        <v>22</v>
      </c>
      <c r="I74" s="1" t="s">
        <v>389</v>
      </c>
      <c r="J74" s="1" t="s">
        <v>517</v>
      </c>
      <c r="K74" s="1" t="s">
        <v>518</v>
      </c>
      <c r="L74" s="22" t="s">
        <v>519</v>
      </c>
      <c r="M74" s="1" t="s">
        <v>520</v>
      </c>
      <c r="N74" s="1" t="s">
        <v>521</v>
      </c>
      <c r="O74" s="1" t="s">
        <v>522</v>
      </c>
      <c r="P74" s="1" t="s">
        <v>28</v>
      </c>
    </row>
    <row r="75" ht="15.75" customHeight="1">
      <c r="A75" s="1" t="s">
        <v>523</v>
      </c>
      <c r="B75" s="1" t="s">
        <v>17</v>
      </c>
      <c r="D75" s="1" t="str">
        <f>image("https://lh3.googleusercontent.com/p/AF1QipP_UufG_rMQlhE1dxLmIQPN2Ki0Gc0cjxcdurKZ=s680-w680-h510")</f>
        <v/>
      </c>
      <c r="E75" s="1" t="s">
        <v>524</v>
      </c>
      <c r="F75" s="1" t="s">
        <v>525</v>
      </c>
      <c r="G75" s="1" t="s">
        <v>21</v>
      </c>
      <c r="H75" s="1" t="s">
        <v>22</v>
      </c>
      <c r="I75" s="1" t="s">
        <v>23</v>
      </c>
      <c r="J75" s="4" t="s">
        <v>526</v>
      </c>
      <c r="K75" s="1" t="s">
        <v>527</v>
      </c>
      <c r="L75" s="1" t="s">
        <v>17</v>
      </c>
      <c r="M75" s="1" t="s">
        <v>17</v>
      </c>
      <c r="N75" s="4" t="s">
        <v>364</v>
      </c>
      <c r="O75" s="1" t="s">
        <v>528</v>
      </c>
      <c r="P75" s="1" t="s">
        <v>28</v>
      </c>
    </row>
    <row r="76" ht="15.75" customHeight="1">
      <c r="A76" s="1" t="s">
        <v>529</v>
      </c>
      <c r="B76" s="1" t="s">
        <v>17</v>
      </c>
      <c r="D76" s="1" t="s">
        <v>17</v>
      </c>
      <c r="E76" s="1" t="s">
        <v>17</v>
      </c>
      <c r="F76" s="1" t="s">
        <v>37</v>
      </c>
      <c r="G76" s="1" t="s">
        <v>21</v>
      </c>
      <c r="H76" s="1" t="s">
        <v>22</v>
      </c>
      <c r="I76" s="1" t="s">
        <v>17</v>
      </c>
      <c r="J76" s="4" t="s">
        <v>530</v>
      </c>
      <c r="K76" s="37" t="s">
        <v>531</v>
      </c>
      <c r="L76" s="38" t="s">
        <v>532</v>
      </c>
      <c r="M76" s="1" t="s">
        <v>17</v>
      </c>
      <c r="N76" s="4" t="s">
        <v>533</v>
      </c>
      <c r="O76" s="1" t="s">
        <v>41</v>
      </c>
      <c r="P76" s="1" t="s">
        <v>28</v>
      </c>
    </row>
    <row r="77" ht="15.75" customHeight="1">
      <c r="A77" s="1" t="s">
        <v>534</v>
      </c>
      <c r="B77" s="1" t="s">
        <v>17</v>
      </c>
      <c r="C77" s="1" t="s">
        <v>44</v>
      </c>
      <c r="D77" s="1" t="str">
        <f>image("https://lh3.googleusercontent.com/p/AF1QipPLurk9vGjVw5caM2CMstLaKdW9O-xrwF1ZpA9N=s680-w680-h510")</f>
        <v/>
      </c>
      <c r="E77" s="1" t="s">
        <v>535</v>
      </c>
      <c r="F77" s="1" t="s">
        <v>536</v>
      </c>
      <c r="G77" s="1" t="s">
        <v>21</v>
      </c>
      <c r="H77" s="1" t="s">
        <v>22</v>
      </c>
      <c r="I77" s="1" t="s">
        <v>17</v>
      </c>
      <c r="J77" s="4" t="s">
        <v>537</v>
      </c>
      <c r="K77" s="39" t="s">
        <v>538</v>
      </c>
      <c r="L77" s="40" t="s">
        <v>539</v>
      </c>
      <c r="M77" s="1" t="s">
        <v>17</v>
      </c>
      <c r="N77" s="1" t="s">
        <v>17</v>
      </c>
      <c r="O77" s="1" t="s">
        <v>540</v>
      </c>
      <c r="P77" s="1" t="s">
        <v>28</v>
      </c>
    </row>
    <row r="78" ht="15.75" customHeight="1">
      <c r="A78" s="1" t="s">
        <v>541</v>
      </c>
      <c r="B78" s="1" t="s">
        <v>542</v>
      </c>
      <c r="C78" s="7">
        <v>45417.0</v>
      </c>
      <c r="D78" s="1" t="str">
        <f>image("https://lh3.googleusercontent.com/p/AF1QipM9X-9iq02lXBKFsWlzovXK7pFgPSXPRsgixSLg=s680-w680-h510")</f>
        <v/>
      </c>
      <c r="E78" s="1" t="s">
        <v>543</v>
      </c>
      <c r="F78" s="1" t="s">
        <v>544</v>
      </c>
      <c r="G78" s="1" t="s">
        <v>21</v>
      </c>
      <c r="H78" s="1" t="s">
        <v>22</v>
      </c>
      <c r="I78" s="1" t="s">
        <v>17</v>
      </c>
      <c r="J78" s="4" t="s">
        <v>545</v>
      </c>
      <c r="K78" s="1" t="s">
        <v>546</v>
      </c>
      <c r="L78" s="22" t="s">
        <v>547</v>
      </c>
      <c r="M78" s="1" t="s">
        <v>17</v>
      </c>
      <c r="N78" s="4" t="s">
        <v>548</v>
      </c>
      <c r="O78" s="1" t="s">
        <v>549</v>
      </c>
      <c r="P78" s="1" t="s">
        <v>28</v>
      </c>
    </row>
    <row r="79" ht="15.75" customHeight="1">
      <c r="A79" s="1" t="s">
        <v>550</v>
      </c>
      <c r="B79" s="1" t="s">
        <v>551</v>
      </c>
      <c r="D79" s="1" t="s">
        <v>17</v>
      </c>
      <c r="E79" s="1" t="s">
        <v>552</v>
      </c>
      <c r="F79" s="1" t="s">
        <v>553</v>
      </c>
      <c r="G79" s="1" t="s">
        <v>21</v>
      </c>
      <c r="H79" s="1" t="s">
        <v>22</v>
      </c>
      <c r="I79" s="8"/>
      <c r="J79" s="41" t="s">
        <v>554</v>
      </c>
      <c r="K79" s="2" t="s">
        <v>555</v>
      </c>
      <c r="L79" s="22" t="s">
        <v>519</v>
      </c>
      <c r="M79" s="1" t="s">
        <v>17</v>
      </c>
      <c r="N79" s="1" t="s">
        <v>556</v>
      </c>
      <c r="O79" s="1" t="s">
        <v>522</v>
      </c>
      <c r="P79" s="1" t="s">
        <v>28</v>
      </c>
    </row>
    <row r="80" ht="15.75" customHeight="1">
      <c r="A80" s="1" t="s">
        <v>557</v>
      </c>
      <c r="B80" s="1" t="s">
        <v>558</v>
      </c>
      <c r="C80" s="1" t="s">
        <v>74</v>
      </c>
      <c r="D80" s="1" t="str">
        <f>image("https://lh3.googleusercontent.com/p/AF1QipPG9RZXyRSXFn5DQA66c9XpMyt1Vcw034xHLt51=s680-w680-h510")</f>
        <v/>
      </c>
      <c r="E80" s="1" t="s">
        <v>559</v>
      </c>
      <c r="F80" s="1" t="s">
        <v>560</v>
      </c>
      <c r="G80" s="1" t="s">
        <v>21</v>
      </c>
      <c r="H80" s="1" t="s">
        <v>22</v>
      </c>
      <c r="I80" s="1" t="s">
        <v>23</v>
      </c>
      <c r="J80" s="1"/>
      <c r="K80" s="2" t="s">
        <v>561</v>
      </c>
      <c r="L80" s="1" t="s">
        <v>17</v>
      </c>
      <c r="M80" s="1" t="s">
        <v>17</v>
      </c>
      <c r="N80" s="1" t="s">
        <v>562</v>
      </c>
      <c r="O80" s="1" t="s">
        <v>563</v>
      </c>
      <c r="P80" s="1" t="s">
        <v>28</v>
      </c>
    </row>
    <row r="81" ht="15.75" customHeight="1">
      <c r="A81" s="1" t="s">
        <v>564</v>
      </c>
      <c r="B81" s="1" t="s">
        <v>565</v>
      </c>
      <c r="C81" s="7">
        <v>45417.0</v>
      </c>
      <c r="D81" s="1" t="s">
        <v>17</v>
      </c>
      <c r="E81" s="1" t="s">
        <v>566</v>
      </c>
      <c r="F81" s="1" t="s">
        <v>567</v>
      </c>
      <c r="G81" s="1" t="s">
        <v>21</v>
      </c>
      <c r="H81" s="1" t="s">
        <v>22</v>
      </c>
      <c r="I81" s="1" t="s">
        <v>17</v>
      </c>
      <c r="J81" s="4" t="s">
        <v>568</v>
      </c>
      <c r="K81" s="1" t="s">
        <v>449</v>
      </c>
      <c r="L81" s="1" t="s">
        <v>17</v>
      </c>
      <c r="M81" s="1" t="s">
        <v>17</v>
      </c>
      <c r="N81" s="1" t="s">
        <v>17</v>
      </c>
      <c r="O81" s="1" t="s">
        <v>320</v>
      </c>
      <c r="P81" s="1" t="s">
        <v>28</v>
      </c>
    </row>
    <row r="82" ht="15.75" customHeight="1">
      <c r="A82" s="1" t="s">
        <v>569</v>
      </c>
      <c r="B82" s="1" t="s">
        <v>570</v>
      </c>
      <c r="D82" s="1" t="str">
        <f>image("https://lh3.googleusercontent.com/p/AF1QipO7xAvSBw8t60uWjcgSojnMiY6xnPHB98QbUwWQ=s680-w680-h510")</f>
        <v/>
      </c>
      <c r="E82" s="1" t="s">
        <v>206</v>
      </c>
      <c r="F82" s="1" t="s">
        <v>571</v>
      </c>
      <c r="G82" s="1" t="s">
        <v>21</v>
      </c>
      <c r="H82" s="1" t="s">
        <v>22</v>
      </c>
      <c r="I82" s="1" t="s">
        <v>389</v>
      </c>
      <c r="J82" s="1" t="s">
        <v>572</v>
      </c>
      <c r="K82" s="1" t="s">
        <v>573</v>
      </c>
      <c r="L82" s="1" t="s">
        <v>574</v>
      </c>
      <c r="M82" s="1" t="s">
        <v>17</v>
      </c>
      <c r="N82" s="1" t="s">
        <v>17</v>
      </c>
      <c r="O82" s="1" t="s">
        <v>575</v>
      </c>
      <c r="P82" s="1" t="s">
        <v>28</v>
      </c>
    </row>
    <row r="83" ht="15.75" customHeight="1">
      <c r="A83" s="1" t="s">
        <v>576</v>
      </c>
      <c r="B83" s="1" t="s">
        <v>577</v>
      </c>
      <c r="D83" s="1" t="str">
        <f>image("https://lh3.googleusercontent.com/p/AF1QipNa8bxGRvsIsSwYsx7C8OqgbcW5S7M_UaR2fm1R=s680-w680-h510")</f>
        <v/>
      </c>
      <c r="E83" s="1" t="s">
        <v>578</v>
      </c>
      <c r="F83" s="1" t="s">
        <v>579</v>
      </c>
      <c r="G83" s="1" t="s">
        <v>580</v>
      </c>
      <c r="H83" s="1" t="s">
        <v>22</v>
      </c>
      <c r="I83" s="1" t="s">
        <v>17</v>
      </c>
      <c r="J83" s="1" t="s">
        <v>581</v>
      </c>
      <c r="K83" s="1" t="s">
        <v>582</v>
      </c>
      <c r="L83" s="1" t="s">
        <v>583</v>
      </c>
      <c r="M83" s="1" t="s">
        <v>54</v>
      </c>
      <c r="N83" s="1" t="s">
        <v>584</v>
      </c>
      <c r="O83" s="1" t="s">
        <v>585</v>
      </c>
      <c r="P83" s="1" t="s">
        <v>28</v>
      </c>
    </row>
    <row r="84" ht="15.75" customHeight="1">
      <c r="A84" s="1" t="s">
        <v>586</v>
      </c>
      <c r="B84" s="1" t="s">
        <v>587</v>
      </c>
      <c r="C84" s="1" t="s">
        <v>588</v>
      </c>
      <c r="D84" s="1" t="s">
        <v>17</v>
      </c>
      <c r="E84" s="1" t="s">
        <v>589</v>
      </c>
      <c r="F84" s="1" t="s">
        <v>590</v>
      </c>
      <c r="G84" s="1" t="s">
        <v>21</v>
      </c>
      <c r="H84" s="1" t="s">
        <v>22</v>
      </c>
      <c r="I84" s="1" t="s">
        <v>17</v>
      </c>
      <c r="J84" s="1" t="s">
        <v>17</v>
      </c>
      <c r="K84" s="1" t="s">
        <v>449</v>
      </c>
      <c r="L84" s="1" t="s">
        <v>17</v>
      </c>
      <c r="M84" s="1" t="s">
        <v>17</v>
      </c>
      <c r="N84" s="1" t="s">
        <v>17</v>
      </c>
      <c r="O84" s="1" t="s">
        <v>320</v>
      </c>
      <c r="P84" s="1" t="s">
        <v>28</v>
      </c>
    </row>
    <row r="85" ht="15.75" customHeight="1">
      <c r="A85" s="1" t="s">
        <v>591</v>
      </c>
      <c r="B85" s="1" t="s">
        <v>592</v>
      </c>
      <c r="D85" s="1" t="s">
        <v>17</v>
      </c>
      <c r="E85" s="1" t="s">
        <v>593</v>
      </c>
      <c r="F85" s="1" t="s">
        <v>594</v>
      </c>
      <c r="G85" s="1" t="s">
        <v>21</v>
      </c>
      <c r="H85" s="1" t="s">
        <v>22</v>
      </c>
      <c r="I85" s="1" t="s">
        <v>17</v>
      </c>
      <c r="J85" s="1" t="s">
        <v>17</v>
      </c>
      <c r="K85" s="1" t="s">
        <v>449</v>
      </c>
      <c r="L85" s="1" t="s">
        <v>17</v>
      </c>
      <c r="M85" s="1" t="s">
        <v>17</v>
      </c>
      <c r="N85" s="1" t="s">
        <v>595</v>
      </c>
      <c r="O85" s="1" t="s">
        <v>320</v>
      </c>
      <c r="P85" s="1" t="s">
        <v>28</v>
      </c>
    </row>
    <row r="86" ht="15.75" customHeight="1">
      <c r="A86" s="1" t="s">
        <v>596</v>
      </c>
      <c r="B86" s="1" t="s">
        <v>597</v>
      </c>
      <c r="C86" s="1" t="s">
        <v>44</v>
      </c>
      <c r="D86" s="1" t="str">
        <f>image("https://lh3.googleusercontent.com/p/AF1QipPXVpZikkJ300FDme1m93chkQohrVaiW65NYTU3=s680-w680-h510")</f>
        <v/>
      </c>
      <c r="E86" s="1" t="s">
        <v>598</v>
      </c>
      <c r="F86" s="1" t="s">
        <v>599</v>
      </c>
      <c r="G86" s="1" t="s">
        <v>21</v>
      </c>
      <c r="H86" s="1" t="s">
        <v>22</v>
      </c>
      <c r="I86" s="1" t="s">
        <v>17</v>
      </c>
      <c r="J86" s="1" t="s">
        <v>600</v>
      </c>
      <c r="K86" s="1" t="s">
        <v>601</v>
      </c>
      <c r="L86" s="1" t="s">
        <v>602</v>
      </c>
      <c r="M86" s="4" t="s">
        <v>603</v>
      </c>
      <c r="N86" s="4" t="s">
        <v>604</v>
      </c>
      <c r="O86" s="1" t="s">
        <v>605</v>
      </c>
      <c r="P86" s="1" t="s">
        <v>28</v>
      </c>
    </row>
    <row r="87" ht="15.75" customHeight="1">
      <c r="A87" s="1" t="s">
        <v>606</v>
      </c>
      <c r="B87" s="1" t="s">
        <v>607</v>
      </c>
      <c r="D87" s="1" t="str">
        <f>image("https://lh3.googleusercontent.com/p/AF1QipNRUr6uVvsot85Qfmv27dzHWaOLFfduOduEg4QT=s680-w680-h510")</f>
        <v/>
      </c>
      <c r="E87" s="1" t="s">
        <v>608</v>
      </c>
      <c r="F87" s="1" t="s">
        <v>609</v>
      </c>
      <c r="G87" s="1" t="s">
        <v>21</v>
      </c>
      <c r="H87" s="1" t="s">
        <v>22</v>
      </c>
      <c r="I87" s="1" t="s">
        <v>17</v>
      </c>
      <c r="J87" s="1" t="s">
        <v>17</v>
      </c>
      <c r="K87" s="1" t="s">
        <v>610</v>
      </c>
      <c r="L87" s="1" t="s">
        <v>611</v>
      </c>
      <c r="M87" s="1" t="s">
        <v>612</v>
      </c>
      <c r="N87" s="1" t="s">
        <v>613</v>
      </c>
      <c r="O87" s="1" t="s">
        <v>614</v>
      </c>
      <c r="P87" s="1" t="s">
        <v>28</v>
      </c>
    </row>
    <row r="88" ht="15.75" customHeight="1">
      <c r="A88" s="1" t="s">
        <v>615</v>
      </c>
      <c r="B88" s="1" t="s">
        <v>616</v>
      </c>
      <c r="C88" s="1" t="s">
        <v>215</v>
      </c>
      <c r="D88" s="1" t="str">
        <f>image("https://lh3.googleusercontent.com/p/AF1QipMOG53GvF1CnT3E5vijkHdJEeo07pp3Pb2Sgcl4=s680-w680-h510")</f>
        <v/>
      </c>
      <c r="E88" s="1" t="s">
        <v>617</v>
      </c>
      <c r="F88" s="1" t="s">
        <v>618</v>
      </c>
      <c r="G88" s="1" t="s">
        <v>21</v>
      </c>
      <c r="H88" s="1" t="s">
        <v>22</v>
      </c>
      <c r="I88" s="1" t="s">
        <v>17</v>
      </c>
      <c r="J88" s="1" t="s">
        <v>17</v>
      </c>
      <c r="K88" s="1" t="s">
        <v>619</v>
      </c>
      <c r="L88" s="1" t="s">
        <v>17</v>
      </c>
      <c r="M88" s="1" t="s">
        <v>210</v>
      </c>
      <c r="N88" s="1" t="s">
        <v>17</v>
      </c>
      <c r="O88" s="1" t="s">
        <v>620</v>
      </c>
      <c r="P88" s="1" t="s">
        <v>28</v>
      </c>
    </row>
    <row r="89" ht="15.75" customHeight="1">
      <c r="A89" s="1" t="s">
        <v>621</v>
      </c>
      <c r="B89" s="1" t="s">
        <v>622</v>
      </c>
      <c r="D89" s="1" t="s">
        <v>17</v>
      </c>
      <c r="E89" s="1" t="s">
        <v>623</v>
      </c>
      <c r="F89" s="1" t="s">
        <v>37</v>
      </c>
      <c r="G89" s="1" t="s">
        <v>21</v>
      </c>
      <c r="H89" s="1" t="s">
        <v>22</v>
      </c>
      <c r="I89" s="1" t="s">
        <v>17</v>
      </c>
      <c r="J89" s="1" t="s">
        <v>17</v>
      </c>
      <c r="K89" s="1" t="s">
        <v>449</v>
      </c>
      <c r="L89" s="1" t="s">
        <v>17</v>
      </c>
      <c r="M89" s="1" t="s">
        <v>17</v>
      </c>
      <c r="N89" s="1" t="s">
        <v>17</v>
      </c>
      <c r="O89" s="1" t="s">
        <v>522</v>
      </c>
      <c r="P89" s="1" t="s">
        <v>28</v>
      </c>
    </row>
    <row r="90" ht="15.75" customHeight="1">
      <c r="A90" s="1" t="s">
        <v>624</v>
      </c>
      <c r="B90" s="1" t="s">
        <v>17</v>
      </c>
      <c r="D90" s="1" t="s">
        <v>17</v>
      </c>
      <c r="E90" s="1" t="s">
        <v>17</v>
      </c>
      <c r="F90" s="1" t="s">
        <v>20</v>
      </c>
      <c r="G90" s="1" t="s">
        <v>21</v>
      </c>
      <c r="H90" s="1" t="s">
        <v>22</v>
      </c>
      <c r="I90" s="1" t="s">
        <v>17</v>
      </c>
      <c r="J90" s="1" t="s">
        <v>17</v>
      </c>
      <c r="K90" s="1" t="s">
        <v>17</v>
      </c>
      <c r="L90" s="1" t="s">
        <v>17</v>
      </c>
      <c r="M90" s="1" t="s">
        <v>625</v>
      </c>
      <c r="N90" s="1" t="s">
        <v>626</v>
      </c>
      <c r="O90" s="1" t="s">
        <v>41</v>
      </c>
      <c r="P90" s="1" t="s">
        <v>28</v>
      </c>
    </row>
    <row r="91" ht="15.75" customHeight="1">
      <c r="A91" s="1" t="s">
        <v>627</v>
      </c>
      <c r="B91" s="1" t="s">
        <v>628</v>
      </c>
      <c r="D91" s="1" t="s">
        <v>17</v>
      </c>
      <c r="E91" s="1" t="s">
        <v>629</v>
      </c>
      <c r="F91" s="1" t="s">
        <v>20</v>
      </c>
      <c r="G91" s="1" t="s">
        <v>21</v>
      </c>
      <c r="H91" s="1" t="s">
        <v>22</v>
      </c>
      <c r="I91" s="1" t="s">
        <v>96</v>
      </c>
      <c r="J91" s="1" t="s">
        <v>17</v>
      </c>
      <c r="K91" s="1" t="s">
        <v>630</v>
      </c>
      <c r="L91" s="1" t="s">
        <v>17</v>
      </c>
      <c r="M91" s="1" t="s">
        <v>631</v>
      </c>
      <c r="N91" s="1" t="s">
        <v>17</v>
      </c>
      <c r="O91" s="1" t="s">
        <v>632</v>
      </c>
      <c r="P91" s="1" t="s">
        <v>28</v>
      </c>
    </row>
    <row r="92" ht="15.75" customHeight="1">
      <c r="A92" s="1" t="s">
        <v>633</v>
      </c>
      <c r="B92" s="1" t="s">
        <v>83</v>
      </c>
      <c r="D92" s="1" t="str">
        <f>image("https://lh3.googleusercontent.com/p/AF1QipNGUVwV-Xbn1zdTAp_FomR8OtUHGSxrxVYfIJzd=s680-w680-h510")</f>
        <v/>
      </c>
      <c r="E92" s="1" t="s">
        <v>634</v>
      </c>
      <c r="F92" s="1" t="s">
        <v>635</v>
      </c>
      <c r="G92" s="1" t="s">
        <v>21</v>
      </c>
      <c r="H92" s="1" t="s">
        <v>22</v>
      </c>
      <c r="I92" s="1" t="s">
        <v>17</v>
      </c>
      <c r="J92" s="1" t="s">
        <v>636</v>
      </c>
      <c r="K92" s="1" t="s">
        <v>637</v>
      </c>
      <c r="L92" s="1" t="s">
        <v>638</v>
      </c>
      <c r="M92" s="1" t="s">
        <v>17</v>
      </c>
      <c r="N92" s="1" t="s">
        <v>17</v>
      </c>
      <c r="O92" s="1" t="s">
        <v>639</v>
      </c>
      <c r="P92" s="1" t="s">
        <v>28</v>
      </c>
    </row>
    <row r="93" ht="15.75" customHeight="1">
      <c r="A93" s="1" t="s">
        <v>640</v>
      </c>
      <c r="B93" s="1" t="s">
        <v>17</v>
      </c>
      <c r="C93" s="1" t="s">
        <v>215</v>
      </c>
      <c r="D93" s="1" t="str">
        <f>image("https://lh3.googleusercontent.com/p/AF1QipN34msHSNLMNOduqXZSy91CTZPiiqrFWn4rds8=s680-w680-h510")</f>
        <v/>
      </c>
      <c r="E93" s="1" t="s">
        <v>641</v>
      </c>
      <c r="F93" s="1" t="s">
        <v>642</v>
      </c>
      <c r="G93" s="1" t="s">
        <v>21</v>
      </c>
      <c r="H93" s="1" t="s">
        <v>22</v>
      </c>
      <c r="I93" s="1" t="s">
        <v>17</v>
      </c>
      <c r="J93" s="1" t="s">
        <v>17</v>
      </c>
      <c r="K93" s="1" t="s">
        <v>643</v>
      </c>
      <c r="L93" s="1" t="s">
        <v>17</v>
      </c>
      <c r="M93" s="1" t="s">
        <v>17</v>
      </c>
      <c r="N93" s="1" t="s">
        <v>644</v>
      </c>
      <c r="O93" s="1" t="s">
        <v>645</v>
      </c>
      <c r="P93" s="1" t="s">
        <v>28</v>
      </c>
    </row>
    <row r="94" ht="15.75" customHeight="1">
      <c r="A94" s="1" t="s">
        <v>646</v>
      </c>
      <c r="B94" s="1" t="s">
        <v>647</v>
      </c>
      <c r="C94" s="1" t="s">
        <v>648</v>
      </c>
      <c r="D94" s="1" t="s">
        <v>17</v>
      </c>
      <c r="E94" s="1" t="s">
        <v>649</v>
      </c>
      <c r="F94" s="1" t="s">
        <v>650</v>
      </c>
      <c r="G94" s="1" t="s">
        <v>21</v>
      </c>
      <c r="H94" s="1" t="s">
        <v>22</v>
      </c>
      <c r="I94" s="1" t="s">
        <v>17</v>
      </c>
      <c r="J94" s="1" t="s">
        <v>17</v>
      </c>
      <c r="K94" s="1" t="s">
        <v>449</v>
      </c>
      <c r="L94" s="1" t="s">
        <v>17</v>
      </c>
      <c r="M94" s="1" t="s">
        <v>17</v>
      </c>
      <c r="N94" s="1" t="s">
        <v>17</v>
      </c>
      <c r="O94" s="1" t="s">
        <v>320</v>
      </c>
      <c r="P94" s="1" t="s">
        <v>28</v>
      </c>
    </row>
    <row r="95" ht="15.75" customHeight="1">
      <c r="A95" s="1" t="s">
        <v>651</v>
      </c>
      <c r="B95" s="1" t="s">
        <v>652</v>
      </c>
      <c r="C95" s="1" t="s">
        <v>215</v>
      </c>
      <c r="D95" s="1" t="s">
        <v>17</v>
      </c>
      <c r="E95" s="1" t="s">
        <v>653</v>
      </c>
      <c r="F95" s="1" t="s">
        <v>654</v>
      </c>
      <c r="G95" s="1" t="s">
        <v>21</v>
      </c>
      <c r="H95" s="1" t="s">
        <v>22</v>
      </c>
      <c r="I95" s="1" t="s">
        <v>17</v>
      </c>
      <c r="J95" s="1" t="s">
        <v>17</v>
      </c>
      <c r="K95" s="1" t="s">
        <v>655</v>
      </c>
      <c r="L95" s="1" t="s">
        <v>17</v>
      </c>
      <c r="M95" s="1" t="s">
        <v>17</v>
      </c>
      <c r="N95" s="1" t="s">
        <v>17</v>
      </c>
      <c r="O95" s="1" t="s">
        <v>656</v>
      </c>
      <c r="P95" s="1" t="s">
        <v>28</v>
      </c>
    </row>
    <row r="96" ht="15.75" customHeight="1">
      <c r="A96" s="1" t="s">
        <v>657</v>
      </c>
      <c r="B96" s="1" t="s">
        <v>17</v>
      </c>
      <c r="C96" s="1" t="s">
        <v>65</v>
      </c>
      <c r="D96" s="1" t="s">
        <v>17</v>
      </c>
      <c r="E96" s="1" t="s">
        <v>658</v>
      </c>
      <c r="F96" s="1" t="s">
        <v>659</v>
      </c>
      <c r="G96" s="1" t="s">
        <v>21</v>
      </c>
      <c r="H96" s="1" t="s">
        <v>22</v>
      </c>
      <c r="I96" s="1" t="s">
        <v>23</v>
      </c>
      <c r="J96" s="1" t="s">
        <v>17</v>
      </c>
      <c r="K96" s="1" t="s">
        <v>660</v>
      </c>
      <c r="L96" s="1" t="s">
        <v>17</v>
      </c>
      <c r="M96" s="1" t="s">
        <v>17</v>
      </c>
      <c r="N96" s="1" t="s">
        <v>17</v>
      </c>
      <c r="O96" s="1" t="s">
        <v>661</v>
      </c>
      <c r="P96" s="1" t="s">
        <v>28</v>
      </c>
    </row>
    <row r="97" ht="15.75" customHeight="1">
      <c r="A97" s="1" t="s">
        <v>662</v>
      </c>
      <c r="B97" s="1" t="s">
        <v>663</v>
      </c>
      <c r="D97" s="1" t="s">
        <v>17</v>
      </c>
      <c r="E97" s="1" t="s">
        <v>664</v>
      </c>
      <c r="F97" s="1" t="s">
        <v>665</v>
      </c>
      <c r="G97" s="1" t="s">
        <v>21</v>
      </c>
      <c r="H97" s="1" t="s">
        <v>22</v>
      </c>
      <c r="I97" s="1" t="s">
        <v>17</v>
      </c>
      <c r="J97" s="1" t="s">
        <v>17</v>
      </c>
      <c r="K97" s="1" t="s">
        <v>449</v>
      </c>
      <c r="L97" s="1" t="s">
        <v>17</v>
      </c>
      <c r="M97" s="1" t="s">
        <v>666</v>
      </c>
      <c r="N97" s="1" t="s">
        <v>17</v>
      </c>
      <c r="O97" s="1" t="s">
        <v>320</v>
      </c>
      <c r="P97" s="1" t="s">
        <v>28</v>
      </c>
    </row>
    <row r="98" ht="15.75" customHeight="1">
      <c r="A98" s="1" t="s">
        <v>667</v>
      </c>
      <c r="B98" s="1" t="s">
        <v>17</v>
      </c>
      <c r="D98" s="1" t="s">
        <v>17</v>
      </c>
      <c r="E98" s="1" t="s">
        <v>668</v>
      </c>
      <c r="F98" s="1" t="s">
        <v>669</v>
      </c>
      <c r="G98" s="1" t="s">
        <v>21</v>
      </c>
      <c r="H98" s="1" t="s">
        <v>22</v>
      </c>
      <c r="I98" s="1" t="s">
        <v>23</v>
      </c>
      <c r="J98" s="1" t="s">
        <v>17</v>
      </c>
      <c r="K98" s="1" t="s">
        <v>670</v>
      </c>
      <c r="L98" s="1" t="s">
        <v>17</v>
      </c>
      <c r="M98" s="1" t="s">
        <v>17</v>
      </c>
      <c r="N98" s="1" t="s">
        <v>17</v>
      </c>
      <c r="O98" s="1" t="s">
        <v>671</v>
      </c>
      <c r="P98" s="1" t="s">
        <v>28</v>
      </c>
    </row>
    <row r="99" ht="15.75" customHeight="1">
      <c r="A99" s="1" t="s">
        <v>672</v>
      </c>
      <c r="B99" s="1" t="s">
        <v>17</v>
      </c>
      <c r="D99" s="1" t="s">
        <v>17</v>
      </c>
      <c r="E99" s="1" t="s">
        <v>17</v>
      </c>
      <c r="F99" s="1" t="s">
        <v>20</v>
      </c>
      <c r="G99" s="1" t="s">
        <v>21</v>
      </c>
      <c r="H99" s="1" t="s">
        <v>22</v>
      </c>
      <c r="I99" s="1" t="s">
        <v>17</v>
      </c>
      <c r="J99" s="1" t="s">
        <v>17</v>
      </c>
      <c r="K99" s="1" t="s">
        <v>17</v>
      </c>
      <c r="L99" s="1" t="s">
        <v>17</v>
      </c>
      <c r="M99" s="1" t="s">
        <v>673</v>
      </c>
      <c r="N99" s="1" t="s">
        <v>674</v>
      </c>
      <c r="O99" s="1" t="s">
        <v>41</v>
      </c>
      <c r="P99" s="1" t="s">
        <v>28</v>
      </c>
    </row>
    <row r="100" ht="15.75" customHeight="1">
      <c r="A100" s="1" t="s">
        <v>675</v>
      </c>
      <c r="B100" s="1" t="s">
        <v>17</v>
      </c>
      <c r="D100" s="1" t="s">
        <v>17</v>
      </c>
      <c r="E100" s="1" t="s">
        <v>17</v>
      </c>
      <c r="F100" s="1" t="s">
        <v>20</v>
      </c>
      <c r="G100" s="1" t="s">
        <v>21</v>
      </c>
      <c r="H100" s="1" t="s">
        <v>22</v>
      </c>
      <c r="I100" s="1" t="s">
        <v>17</v>
      </c>
      <c r="J100" s="1" t="s">
        <v>17</v>
      </c>
      <c r="K100" s="1" t="s">
        <v>17</v>
      </c>
      <c r="L100" s="1" t="s">
        <v>17</v>
      </c>
      <c r="M100" s="1" t="s">
        <v>676</v>
      </c>
      <c r="N100" s="1" t="s">
        <v>17</v>
      </c>
      <c r="O100" s="1" t="s">
        <v>41</v>
      </c>
      <c r="P100" s="1" t="s">
        <v>28</v>
      </c>
    </row>
    <row r="101" ht="15.75" customHeight="1">
      <c r="A101" s="1" t="s">
        <v>677</v>
      </c>
      <c r="B101" s="1" t="s">
        <v>17</v>
      </c>
      <c r="D101" s="1" t="s">
        <v>17</v>
      </c>
      <c r="E101" s="1" t="s">
        <v>17</v>
      </c>
      <c r="F101" s="1" t="s">
        <v>20</v>
      </c>
      <c r="G101" s="1" t="s">
        <v>21</v>
      </c>
      <c r="H101" s="1" t="s">
        <v>22</v>
      </c>
      <c r="I101" s="1" t="s">
        <v>17</v>
      </c>
      <c r="J101" s="1" t="s">
        <v>17</v>
      </c>
      <c r="K101" s="1" t="s">
        <v>17</v>
      </c>
      <c r="L101" s="1" t="s">
        <v>17</v>
      </c>
      <c r="M101" s="1" t="s">
        <v>678</v>
      </c>
      <c r="N101" s="1" t="s">
        <v>17</v>
      </c>
      <c r="O101" s="1" t="s">
        <v>41</v>
      </c>
      <c r="P101" s="1" t="s">
        <v>28</v>
      </c>
    </row>
    <row r="102" ht="15.75" customHeight="1">
      <c r="A102" s="1" t="s">
        <v>679</v>
      </c>
      <c r="B102" s="1" t="s">
        <v>680</v>
      </c>
      <c r="C102" s="7">
        <v>45414.0</v>
      </c>
      <c r="D102" s="1" t="str">
        <f>image("https://lh3.googleusercontent.com/p/AF1QipPNaiMKBjMiCOFpHRZHRfiuqVS_uAoqUc91OiKT=s680-w680-h510")</f>
        <v/>
      </c>
      <c r="E102" s="1" t="s">
        <v>681</v>
      </c>
      <c r="F102" s="1" t="s">
        <v>20</v>
      </c>
      <c r="G102" s="1" t="s">
        <v>21</v>
      </c>
      <c r="H102" s="1" t="s">
        <v>22</v>
      </c>
      <c r="I102" s="1" t="s">
        <v>17</v>
      </c>
      <c r="J102" s="1" t="s">
        <v>17</v>
      </c>
      <c r="K102" s="1" t="s">
        <v>449</v>
      </c>
      <c r="L102" s="1" t="s">
        <v>17</v>
      </c>
      <c r="M102" s="1" t="s">
        <v>17</v>
      </c>
      <c r="N102" s="1" t="s">
        <v>17</v>
      </c>
      <c r="O102" s="1" t="s">
        <v>320</v>
      </c>
      <c r="P102" s="1" t="s">
        <v>28</v>
      </c>
    </row>
    <row r="103" ht="15.75" customHeight="1">
      <c r="A103" s="1" t="s">
        <v>682</v>
      </c>
      <c r="B103" s="1" t="s">
        <v>683</v>
      </c>
      <c r="C103" s="1" t="s">
        <v>684</v>
      </c>
      <c r="D103" s="1" t="s">
        <v>17</v>
      </c>
      <c r="E103" s="1" t="s">
        <v>685</v>
      </c>
      <c r="F103" s="1" t="s">
        <v>686</v>
      </c>
      <c r="G103" s="1" t="s">
        <v>21</v>
      </c>
      <c r="H103" s="1" t="s">
        <v>22</v>
      </c>
      <c r="I103" s="1" t="s">
        <v>17</v>
      </c>
      <c r="J103" s="1" t="s">
        <v>17</v>
      </c>
      <c r="K103" s="1" t="s">
        <v>449</v>
      </c>
      <c r="L103" s="1" t="s">
        <v>17</v>
      </c>
      <c r="M103" s="1" t="s">
        <v>17</v>
      </c>
      <c r="N103" s="1" t="s">
        <v>17</v>
      </c>
      <c r="O103" s="1" t="s">
        <v>320</v>
      </c>
      <c r="P103" s="1" t="s">
        <v>28</v>
      </c>
    </row>
    <row r="104" ht="15.75" customHeight="1">
      <c r="A104" s="1" t="s">
        <v>687</v>
      </c>
      <c r="B104" s="1" t="s">
        <v>17</v>
      </c>
      <c r="D104" s="1" t="s">
        <v>17</v>
      </c>
      <c r="E104" s="1" t="s">
        <v>17</v>
      </c>
      <c r="F104" s="1" t="s">
        <v>20</v>
      </c>
      <c r="G104" s="1" t="s">
        <v>21</v>
      </c>
      <c r="H104" s="1" t="s">
        <v>22</v>
      </c>
      <c r="I104" s="1" t="s">
        <v>17</v>
      </c>
      <c r="J104" s="1" t="s">
        <v>17</v>
      </c>
      <c r="K104" s="1" t="s">
        <v>17</v>
      </c>
      <c r="L104" s="1" t="s">
        <v>17</v>
      </c>
      <c r="M104" s="1" t="s">
        <v>17</v>
      </c>
      <c r="N104" s="1" t="s">
        <v>688</v>
      </c>
      <c r="O104" s="1" t="s">
        <v>41</v>
      </c>
      <c r="P104" s="1" t="s">
        <v>28</v>
      </c>
    </row>
    <row r="105" ht="15.75" customHeight="1">
      <c r="A105" s="1" t="s">
        <v>689</v>
      </c>
      <c r="B105" s="1" t="s">
        <v>17</v>
      </c>
      <c r="D105" s="1" t="s">
        <v>17</v>
      </c>
      <c r="E105" s="1" t="s">
        <v>17</v>
      </c>
      <c r="F105" s="1" t="s">
        <v>20</v>
      </c>
      <c r="G105" s="1" t="s">
        <v>21</v>
      </c>
      <c r="H105" s="1" t="s">
        <v>22</v>
      </c>
      <c r="I105" s="1" t="s">
        <v>17</v>
      </c>
      <c r="J105" s="1" t="s">
        <v>17</v>
      </c>
      <c r="K105" s="1" t="s">
        <v>17</v>
      </c>
      <c r="L105" s="1" t="s">
        <v>17</v>
      </c>
      <c r="M105" s="1" t="s">
        <v>17</v>
      </c>
      <c r="N105" s="1" t="s">
        <v>17</v>
      </c>
      <c r="O105" s="1" t="s">
        <v>41</v>
      </c>
      <c r="P105" s="1" t="s">
        <v>28</v>
      </c>
    </row>
    <row r="106" ht="15.75" customHeight="1">
      <c r="A106" s="1" t="s">
        <v>690</v>
      </c>
      <c r="B106" s="1" t="s">
        <v>17</v>
      </c>
      <c r="C106" s="7">
        <v>45417.0</v>
      </c>
      <c r="D106" s="1" t="s">
        <v>17</v>
      </c>
      <c r="E106" s="1" t="s">
        <v>691</v>
      </c>
      <c r="F106" s="1" t="s">
        <v>20</v>
      </c>
      <c r="G106" s="1" t="s">
        <v>21</v>
      </c>
      <c r="H106" s="1" t="s">
        <v>22</v>
      </c>
      <c r="I106" s="1" t="s">
        <v>17</v>
      </c>
      <c r="J106" s="1" t="s">
        <v>17</v>
      </c>
      <c r="K106" s="1" t="s">
        <v>692</v>
      </c>
      <c r="L106" s="1" t="s">
        <v>17</v>
      </c>
      <c r="M106" s="1" t="s">
        <v>17</v>
      </c>
      <c r="N106" s="1" t="s">
        <v>17</v>
      </c>
      <c r="O106" s="1" t="s">
        <v>693</v>
      </c>
      <c r="P106" s="1" t="s">
        <v>28</v>
      </c>
    </row>
    <row r="107" ht="15.75" customHeight="1">
      <c r="A107" s="1" t="s">
        <v>694</v>
      </c>
      <c r="B107" s="1" t="s">
        <v>695</v>
      </c>
      <c r="D107" s="1" t="str">
        <f>image("https://lh3.googleusercontent.com/p/AF1QipM6EdLz9bVDNVZ0dExI5Fdvvrl_kqvCep0gnMbR=s680-w680-h510")</f>
        <v/>
      </c>
      <c r="E107" s="1" t="s">
        <v>696</v>
      </c>
      <c r="F107" s="1" t="s">
        <v>697</v>
      </c>
      <c r="G107" s="1" t="s">
        <v>21</v>
      </c>
      <c r="H107" s="1" t="s">
        <v>22</v>
      </c>
      <c r="I107" s="1" t="s">
        <v>96</v>
      </c>
      <c r="J107" s="1" t="s">
        <v>698</v>
      </c>
      <c r="K107" s="1" t="s">
        <v>17</v>
      </c>
      <c r="L107" s="1" t="s">
        <v>699</v>
      </c>
      <c r="M107" s="1" t="s">
        <v>17</v>
      </c>
      <c r="N107" s="1" t="s">
        <v>17</v>
      </c>
      <c r="O107" s="1" t="s">
        <v>700</v>
      </c>
      <c r="P107" s="1" t="s">
        <v>28</v>
      </c>
    </row>
    <row r="108" ht="15.75" customHeight="1">
      <c r="A108" s="1" t="s">
        <v>701</v>
      </c>
      <c r="B108" s="1" t="s">
        <v>17</v>
      </c>
      <c r="D108" s="1" t="str">
        <f>image("https://lh3.googleusercontent.com/p/AF1QipORUPZIxBBs3OAJ0V77CD5p_9lLzAIAXRrsdo2m=s680-w680-h510")</f>
        <v/>
      </c>
      <c r="E108" s="1" t="s">
        <v>702</v>
      </c>
      <c r="F108" s="1" t="s">
        <v>703</v>
      </c>
      <c r="G108" s="1" t="s">
        <v>21</v>
      </c>
      <c r="H108" s="1" t="s">
        <v>22</v>
      </c>
      <c r="I108" s="1" t="s">
        <v>389</v>
      </c>
      <c r="J108" s="1" t="s">
        <v>17</v>
      </c>
      <c r="K108" s="1" t="s">
        <v>704</v>
      </c>
      <c r="L108" s="1" t="s">
        <v>17</v>
      </c>
      <c r="M108" s="1" t="s">
        <v>705</v>
      </c>
      <c r="N108" s="1" t="s">
        <v>17</v>
      </c>
      <c r="O108" s="1" t="s">
        <v>706</v>
      </c>
      <c r="P108" s="1" t="s">
        <v>28</v>
      </c>
    </row>
    <row r="109" ht="15.75" customHeight="1">
      <c r="A109" s="1" t="s">
        <v>707</v>
      </c>
      <c r="B109" s="1" t="s">
        <v>17</v>
      </c>
      <c r="D109" s="1" t="s">
        <v>17</v>
      </c>
      <c r="E109" s="1" t="s">
        <v>17</v>
      </c>
      <c r="F109" s="1" t="s">
        <v>708</v>
      </c>
      <c r="G109" s="1" t="s">
        <v>21</v>
      </c>
      <c r="H109" s="1" t="s">
        <v>22</v>
      </c>
      <c r="I109" s="1" t="s">
        <v>17</v>
      </c>
      <c r="J109" s="1" t="s">
        <v>17</v>
      </c>
      <c r="K109" s="1" t="s">
        <v>17</v>
      </c>
      <c r="L109" s="1" t="s">
        <v>17</v>
      </c>
      <c r="M109" s="1" t="s">
        <v>54</v>
      </c>
      <c r="N109" s="1" t="s">
        <v>709</v>
      </c>
      <c r="O109" s="1" t="s">
        <v>41</v>
      </c>
      <c r="P109" s="1" t="s">
        <v>28</v>
      </c>
    </row>
    <row r="110" ht="15.75" customHeight="1">
      <c r="A110" s="1" t="s">
        <v>710</v>
      </c>
      <c r="B110" s="1" t="s">
        <v>83</v>
      </c>
      <c r="D110" s="1" t="str">
        <f>image("https://lh3.googleusercontent.com/p/AF1QipO-mUCdAtZWHWhAZDHncXP1k0aoJwA0DI502WA6=s680-w680-h510")</f>
        <v/>
      </c>
      <c r="E110" s="1" t="s">
        <v>711</v>
      </c>
      <c r="F110" s="1" t="s">
        <v>708</v>
      </c>
      <c r="G110" s="1" t="s">
        <v>21</v>
      </c>
      <c r="H110" s="1" t="s">
        <v>22</v>
      </c>
      <c r="I110" s="1" t="s">
        <v>17</v>
      </c>
      <c r="J110" s="1" t="s">
        <v>712</v>
      </c>
      <c r="K110" s="1" t="s">
        <v>17</v>
      </c>
      <c r="L110" s="1" t="s">
        <v>713</v>
      </c>
      <c r="M110" s="1" t="s">
        <v>210</v>
      </c>
      <c r="N110" s="1" t="s">
        <v>17</v>
      </c>
      <c r="O110" s="1" t="s">
        <v>41</v>
      </c>
      <c r="P110" s="1" t="s">
        <v>28</v>
      </c>
    </row>
    <row r="111" ht="15.75" customHeight="1">
      <c r="A111" s="1" t="s">
        <v>714</v>
      </c>
      <c r="B111" s="1" t="s">
        <v>715</v>
      </c>
      <c r="C111" s="7">
        <v>45415.0</v>
      </c>
      <c r="D111" s="1" t="s">
        <v>17</v>
      </c>
      <c r="E111" s="1" t="s">
        <v>716</v>
      </c>
      <c r="F111" s="1" t="s">
        <v>717</v>
      </c>
      <c r="G111" s="1" t="s">
        <v>21</v>
      </c>
      <c r="H111" s="1" t="s">
        <v>22</v>
      </c>
      <c r="I111" s="1" t="s">
        <v>17</v>
      </c>
      <c r="J111" s="1" t="s">
        <v>17</v>
      </c>
      <c r="K111" s="1" t="s">
        <v>449</v>
      </c>
      <c r="L111" s="1" t="s">
        <v>17</v>
      </c>
      <c r="M111" s="1" t="s">
        <v>17</v>
      </c>
      <c r="N111" s="1" t="s">
        <v>17</v>
      </c>
      <c r="O111" s="1" t="s">
        <v>320</v>
      </c>
      <c r="P111" s="1" t="s">
        <v>28</v>
      </c>
    </row>
    <row r="112" ht="15.75" customHeight="1">
      <c r="A112" s="1" t="s">
        <v>718</v>
      </c>
      <c r="B112" s="1" t="s">
        <v>17</v>
      </c>
      <c r="D112" s="1" t="s">
        <v>17</v>
      </c>
      <c r="E112" s="1" t="s">
        <v>17</v>
      </c>
      <c r="F112" s="1" t="s">
        <v>20</v>
      </c>
      <c r="G112" s="1" t="s">
        <v>21</v>
      </c>
      <c r="H112" s="1" t="s">
        <v>22</v>
      </c>
      <c r="I112" s="1" t="s">
        <v>17</v>
      </c>
      <c r="J112" s="1" t="s">
        <v>17</v>
      </c>
      <c r="K112" s="1" t="s">
        <v>17</v>
      </c>
      <c r="L112" s="1" t="s">
        <v>17</v>
      </c>
      <c r="M112" s="1" t="s">
        <v>17</v>
      </c>
      <c r="N112" s="1" t="s">
        <v>719</v>
      </c>
      <c r="O112" s="1" t="s">
        <v>41</v>
      </c>
      <c r="P112" s="1" t="s">
        <v>28</v>
      </c>
    </row>
    <row r="113" ht="15.75" customHeight="1">
      <c r="A113" s="1" t="s">
        <v>720</v>
      </c>
      <c r="B113" s="1" t="s">
        <v>17</v>
      </c>
      <c r="D113" s="1" t="s">
        <v>17</v>
      </c>
      <c r="E113" s="1" t="s">
        <v>17</v>
      </c>
      <c r="F113" s="1" t="s">
        <v>20</v>
      </c>
      <c r="G113" s="1" t="s">
        <v>21</v>
      </c>
      <c r="H113" s="1" t="s">
        <v>22</v>
      </c>
      <c r="I113" s="1" t="s">
        <v>17</v>
      </c>
      <c r="J113" s="1" t="s">
        <v>17</v>
      </c>
      <c r="K113" s="1" t="s">
        <v>17</v>
      </c>
      <c r="L113" s="1" t="s">
        <v>17</v>
      </c>
      <c r="M113" s="1" t="s">
        <v>721</v>
      </c>
      <c r="N113" s="1" t="s">
        <v>17</v>
      </c>
      <c r="O113" s="1" t="s">
        <v>41</v>
      </c>
      <c r="P113" s="1" t="s">
        <v>28</v>
      </c>
    </row>
    <row r="114" ht="15.75" customHeight="1">
      <c r="A114" s="1" t="s">
        <v>722</v>
      </c>
      <c r="B114" s="1" t="s">
        <v>723</v>
      </c>
      <c r="D114" s="1" t="s">
        <v>17</v>
      </c>
      <c r="E114" s="1" t="s">
        <v>724</v>
      </c>
      <c r="F114" s="1" t="s">
        <v>20</v>
      </c>
      <c r="G114" s="1" t="s">
        <v>21</v>
      </c>
      <c r="H114" s="1" t="s">
        <v>22</v>
      </c>
      <c r="I114" s="1" t="s">
        <v>17</v>
      </c>
      <c r="J114" s="1" t="s">
        <v>17</v>
      </c>
      <c r="K114" s="1" t="s">
        <v>449</v>
      </c>
      <c r="L114" s="1" t="s">
        <v>17</v>
      </c>
      <c r="M114" s="1" t="s">
        <v>17</v>
      </c>
      <c r="N114" s="1" t="s">
        <v>17</v>
      </c>
      <c r="O114" s="1" t="s">
        <v>320</v>
      </c>
      <c r="P114" s="1" t="s">
        <v>28</v>
      </c>
    </row>
    <row r="115" ht="15.75" customHeight="1">
      <c r="A115" s="1" t="s">
        <v>725</v>
      </c>
      <c r="B115" s="1" t="s">
        <v>726</v>
      </c>
      <c r="D115" s="1" t="str">
        <f>image("https://lh3.googleusercontent.com/p/AF1QipMLT5uKiPncPKC6y9DJ0d-gxNit3bzkQJijbWcP=s680-w680-h510")</f>
        <v/>
      </c>
      <c r="E115" s="1" t="s">
        <v>727</v>
      </c>
      <c r="F115" s="1" t="s">
        <v>728</v>
      </c>
      <c r="G115" s="1" t="s">
        <v>21</v>
      </c>
      <c r="H115" s="1" t="s">
        <v>22</v>
      </c>
      <c r="I115" s="1" t="s">
        <v>17</v>
      </c>
      <c r="J115" s="1" t="s">
        <v>729</v>
      </c>
      <c r="K115" s="1" t="s">
        <v>730</v>
      </c>
      <c r="L115" s="1" t="s">
        <v>17</v>
      </c>
      <c r="M115" s="1" t="s">
        <v>17</v>
      </c>
      <c r="N115" s="1" t="s">
        <v>17</v>
      </c>
      <c r="O115" s="1" t="s">
        <v>731</v>
      </c>
      <c r="P115" s="1" t="s">
        <v>28</v>
      </c>
    </row>
    <row r="116" ht="15.75" customHeight="1">
      <c r="A116" s="1" t="s">
        <v>732</v>
      </c>
      <c r="B116" s="1" t="s">
        <v>17</v>
      </c>
      <c r="D116" s="1" t="s">
        <v>17</v>
      </c>
      <c r="E116" s="1" t="s">
        <v>17</v>
      </c>
      <c r="F116" s="1" t="s">
        <v>20</v>
      </c>
      <c r="G116" s="1" t="s">
        <v>21</v>
      </c>
      <c r="H116" s="1" t="s">
        <v>22</v>
      </c>
      <c r="I116" s="1" t="s">
        <v>17</v>
      </c>
      <c r="J116" s="1" t="s">
        <v>17</v>
      </c>
      <c r="K116" s="1" t="s">
        <v>17</v>
      </c>
      <c r="L116" s="1" t="s">
        <v>17</v>
      </c>
      <c r="M116" s="1" t="s">
        <v>733</v>
      </c>
      <c r="N116" s="1" t="s">
        <v>17</v>
      </c>
      <c r="O116" s="1" t="s">
        <v>41</v>
      </c>
      <c r="P116" s="1" t="s">
        <v>28</v>
      </c>
    </row>
    <row r="117" ht="15.75" customHeight="1">
      <c r="A117" s="1" t="s">
        <v>734</v>
      </c>
      <c r="B117" s="1" t="s">
        <v>735</v>
      </c>
      <c r="C117" s="7">
        <v>45417.0</v>
      </c>
      <c r="D117" s="1" t="s">
        <v>17</v>
      </c>
      <c r="E117" s="1" t="s">
        <v>736</v>
      </c>
      <c r="F117" s="1" t="s">
        <v>737</v>
      </c>
      <c r="G117" s="1" t="s">
        <v>21</v>
      </c>
      <c r="H117" s="1" t="s">
        <v>22</v>
      </c>
      <c r="I117" s="1" t="s">
        <v>17</v>
      </c>
      <c r="J117" s="1" t="s">
        <v>17</v>
      </c>
      <c r="K117" s="1" t="s">
        <v>449</v>
      </c>
      <c r="L117" s="1" t="s">
        <v>17</v>
      </c>
      <c r="M117" s="1" t="s">
        <v>17</v>
      </c>
      <c r="N117" s="1" t="s">
        <v>17</v>
      </c>
      <c r="O117" s="1" t="s">
        <v>320</v>
      </c>
      <c r="P117" s="1" t="s">
        <v>28</v>
      </c>
    </row>
    <row r="118" ht="15.75" customHeight="1">
      <c r="A118" s="1" t="s">
        <v>738</v>
      </c>
      <c r="B118" s="1" t="s">
        <v>739</v>
      </c>
      <c r="D118" s="1" t="str">
        <f>image("https://lh3.googleusercontent.com/p/AF1QipNjwCF1_N1gigh-Ul8MsFwC2IuouKMgZ1KJKR4Y=s680-w680-h510")</f>
        <v/>
      </c>
      <c r="E118" s="1" t="s">
        <v>740</v>
      </c>
      <c r="F118" s="1" t="s">
        <v>741</v>
      </c>
      <c r="G118" s="1" t="s">
        <v>21</v>
      </c>
      <c r="H118" s="1" t="s">
        <v>22</v>
      </c>
      <c r="I118" s="1" t="s">
        <v>17</v>
      </c>
      <c r="J118" s="1" t="s">
        <v>17</v>
      </c>
      <c r="K118" s="1" t="s">
        <v>449</v>
      </c>
      <c r="L118" s="1" t="s">
        <v>17</v>
      </c>
      <c r="M118" s="1" t="s">
        <v>742</v>
      </c>
      <c r="N118" s="1" t="s">
        <v>17</v>
      </c>
      <c r="O118" s="1" t="s">
        <v>320</v>
      </c>
      <c r="P118" s="1" t="s">
        <v>28</v>
      </c>
    </row>
    <row r="119" ht="15.75" customHeight="1">
      <c r="A119" s="1" t="s">
        <v>743</v>
      </c>
      <c r="B119" s="1" t="s">
        <v>17</v>
      </c>
      <c r="D119" s="1" t="s">
        <v>17</v>
      </c>
      <c r="E119" s="1" t="s">
        <v>17</v>
      </c>
      <c r="F119" s="1" t="s">
        <v>20</v>
      </c>
      <c r="G119" s="1" t="s">
        <v>21</v>
      </c>
      <c r="H119" s="1" t="s">
        <v>22</v>
      </c>
      <c r="I119" s="1" t="s">
        <v>17</v>
      </c>
      <c r="J119" s="1" t="s">
        <v>17</v>
      </c>
      <c r="K119" s="1" t="s">
        <v>17</v>
      </c>
      <c r="L119" s="1" t="s">
        <v>17</v>
      </c>
      <c r="M119" s="1" t="s">
        <v>744</v>
      </c>
      <c r="N119" s="1" t="s">
        <v>17</v>
      </c>
      <c r="O119" s="1" t="s">
        <v>41</v>
      </c>
      <c r="P119" s="1" t="s">
        <v>28</v>
      </c>
    </row>
    <row r="120" ht="15.75" customHeight="1">
      <c r="A120" s="1" t="s">
        <v>745</v>
      </c>
      <c r="B120" s="1" t="s">
        <v>17</v>
      </c>
      <c r="D120" s="1" t="s">
        <v>17</v>
      </c>
      <c r="E120" s="1" t="s">
        <v>17</v>
      </c>
      <c r="F120" s="1" t="s">
        <v>20</v>
      </c>
      <c r="G120" s="1" t="s">
        <v>21</v>
      </c>
      <c r="H120" s="1" t="s">
        <v>22</v>
      </c>
      <c r="I120" s="1" t="s">
        <v>17</v>
      </c>
      <c r="J120" s="1" t="s">
        <v>17</v>
      </c>
      <c r="K120" s="1" t="s">
        <v>17</v>
      </c>
      <c r="L120" s="1" t="s">
        <v>17</v>
      </c>
      <c r="M120" s="1" t="s">
        <v>17</v>
      </c>
      <c r="N120" s="1" t="s">
        <v>746</v>
      </c>
      <c r="O120" s="1" t="s">
        <v>41</v>
      </c>
      <c r="P120" s="1" t="s">
        <v>28</v>
      </c>
    </row>
    <row r="121" ht="15.75" customHeight="1">
      <c r="A121" s="1" t="s">
        <v>747</v>
      </c>
      <c r="B121" s="1" t="s">
        <v>748</v>
      </c>
      <c r="C121" s="7">
        <v>45417.0</v>
      </c>
      <c r="D121" s="1" t="s">
        <v>17</v>
      </c>
      <c r="E121" s="1" t="s">
        <v>749</v>
      </c>
      <c r="F121" s="1" t="s">
        <v>750</v>
      </c>
      <c r="G121" s="1" t="s">
        <v>21</v>
      </c>
      <c r="H121" s="1" t="s">
        <v>22</v>
      </c>
      <c r="I121" s="1" t="s">
        <v>17</v>
      </c>
      <c r="J121" s="1" t="s">
        <v>17</v>
      </c>
      <c r="K121" s="1" t="s">
        <v>751</v>
      </c>
      <c r="L121" s="1" t="s">
        <v>17</v>
      </c>
      <c r="M121" s="1" t="s">
        <v>752</v>
      </c>
      <c r="N121" s="1" t="s">
        <v>753</v>
      </c>
      <c r="O121" s="1" t="s">
        <v>754</v>
      </c>
      <c r="P121" s="1" t="s">
        <v>28</v>
      </c>
    </row>
    <row r="122" ht="15.75" customHeight="1">
      <c r="A122" s="1" t="s">
        <v>755</v>
      </c>
      <c r="B122" s="1" t="s">
        <v>756</v>
      </c>
      <c r="C122" s="1" t="s">
        <v>74</v>
      </c>
      <c r="D122" s="1" t="str">
        <f>image("https://lh3.googleusercontent.com/p/AF1QipORRUJyyyHcuEQxd2cTHFmNC0Jm9H_ZX4zJtLS8=s680-w680-h510")</f>
        <v/>
      </c>
      <c r="E122" s="1" t="s">
        <v>757</v>
      </c>
      <c r="F122" s="1" t="s">
        <v>758</v>
      </c>
      <c r="G122" s="1" t="s">
        <v>21</v>
      </c>
      <c r="H122" s="1" t="s">
        <v>22</v>
      </c>
      <c r="I122" s="1" t="s">
        <v>17</v>
      </c>
      <c r="J122" s="1" t="s">
        <v>759</v>
      </c>
      <c r="K122" s="1" t="s">
        <v>760</v>
      </c>
      <c r="L122" s="1" t="s">
        <v>761</v>
      </c>
      <c r="M122" s="1" t="s">
        <v>762</v>
      </c>
      <c r="N122" s="1" t="s">
        <v>17</v>
      </c>
      <c r="O122" s="1" t="s">
        <v>763</v>
      </c>
      <c r="P122" s="1" t="s">
        <v>28</v>
      </c>
    </row>
    <row r="123" ht="15.75" customHeight="1">
      <c r="A123" s="1" t="s">
        <v>764</v>
      </c>
      <c r="B123" s="1" t="s">
        <v>765</v>
      </c>
      <c r="C123" s="1" t="s">
        <v>65</v>
      </c>
      <c r="D123" s="1" t="str">
        <f>image("https://lh3.googleusercontent.com/p/AF1QipNlDfwcGcbT_7Y9tannfpzdR-Y-weJTgrdSvvAE=s680-w680-h510")</f>
        <v/>
      </c>
      <c r="E123" s="1" t="s">
        <v>766</v>
      </c>
      <c r="F123" s="1" t="s">
        <v>767</v>
      </c>
      <c r="G123" s="1" t="s">
        <v>21</v>
      </c>
      <c r="H123" s="1" t="s">
        <v>22</v>
      </c>
      <c r="I123" s="1" t="s">
        <v>45</v>
      </c>
      <c r="J123" s="1" t="s">
        <v>17</v>
      </c>
      <c r="K123" s="1" t="s">
        <v>768</v>
      </c>
      <c r="L123" s="1" t="s">
        <v>17</v>
      </c>
      <c r="M123" s="1" t="s">
        <v>769</v>
      </c>
      <c r="N123" s="1" t="s">
        <v>770</v>
      </c>
      <c r="O123" s="1" t="s">
        <v>771</v>
      </c>
      <c r="P123" s="1" t="s">
        <v>28</v>
      </c>
    </row>
    <row r="124" ht="15.75" customHeight="1">
      <c r="A124" s="1" t="s">
        <v>772</v>
      </c>
      <c r="B124" s="1" t="s">
        <v>17</v>
      </c>
      <c r="D124" s="1" t="str">
        <f>image("https://lh3.googleusercontent.com/p/AF1QipOqIcKX5w5kovbYYQOjUNCiYiu7qCeREfuP-BUv=s680-w680-h510")</f>
        <v/>
      </c>
      <c r="E124" s="1" t="s">
        <v>773</v>
      </c>
      <c r="F124" s="1" t="s">
        <v>774</v>
      </c>
      <c r="G124" s="1" t="s">
        <v>21</v>
      </c>
      <c r="H124" s="1" t="s">
        <v>22</v>
      </c>
      <c r="I124" s="1" t="s">
        <v>17</v>
      </c>
      <c r="J124" s="1" t="s">
        <v>17</v>
      </c>
      <c r="K124" s="1" t="s">
        <v>775</v>
      </c>
      <c r="L124" s="1" t="s">
        <v>17</v>
      </c>
      <c r="M124" s="1" t="s">
        <v>776</v>
      </c>
      <c r="N124" s="1" t="s">
        <v>17</v>
      </c>
      <c r="O124" s="1" t="s">
        <v>777</v>
      </c>
      <c r="P124" s="1" t="s">
        <v>28</v>
      </c>
    </row>
    <row r="125" ht="15.75" customHeight="1">
      <c r="A125" s="1" t="s">
        <v>778</v>
      </c>
      <c r="B125" s="1" t="s">
        <v>17</v>
      </c>
      <c r="D125" s="1" t="str">
        <f>image("https://lh3.googleusercontent.com/p/AF1QipNJTN1UGJ2xKmRcy7jpWwoA1hoAQY1xmCcS9z5I=s680-w680-h510")</f>
        <v/>
      </c>
      <c r="E125" s="1" t="s">
        <v>779</v>
      </c>
      <c r="F125" s="1" t="s">
        <v>780</v>
      </c>
      <c r="G125" s="1" t="s">
        <v>21</v>
      </c>
      <c r="H125" s="1" t="s">
        <v>22</v>
      </c>
      <c r="I125" s="1" t="s">
        <v>309</v>
      </c>
      <c r="J125" s="1" t="s">
        <v>17</v>
      </c>
      <c r="K125" s="1" t="s">
        <v>781</v>
      </c>
      <c r="L125" s="1" t="s">
        <v>17</v>
      </c>
      <c r="M125" s="1" t="s">
        <v>782</v>
      </c>
      <c r="N125" s="1" t="s">
        <v>17</v>
      </c>
      <c r="O125" s="1" t="s">
        <v>783</v>
      </c>
      <c r="P125" s="1" t="s">
        <v>28</v>
      </c>
    </row>
    <row r="126" ht="15.75" customHeight="1">
      <c r="A126" s="1" t="s">
        <v>784</v>
      </c>
      <c r="B126" s="1" t="s">
        <v>785</v>
      </c>
      <c r="D126" s="1" t="str">
        <f>image("https://lh3.googleusercontent.com/p/AF1QipNwMiCoULLsa1Y47XDXA-QmpCBY1kayUjR0xt1Q=s680-w680-h510")</f>
        <v/>
      </c>
      <c r="E126" s="1" t="s">
        <v>786</v>
      </c>
      <c r="F126" s="1" t="s">
        <v>787</v>
      </c>
      <c r="G126" s="1" t="s">
        <v>21</v>
      </c>
      <c r="H126" s="1" t="s">
        <v>22</v>
      </c>
      <c r="I126" s="1" t="s">
        <v>17</v>
      </c>
      <c r="J126" s="1" t="s">
        <v>788</v>
      </c>
      <c r="K126" s="1" t="s">
        <v>789</v>
      </c>
      <c r="L126" s="1" t="s">
        <v>790</v>
      </c>
      <c r="M126" s="1" t="s">
        <v>17</v>
      </c>
      <c r="N126" s="1" t="s">
        <v>791</v>
      </c>
      <c r="O126" s="1" t="s">
        <v>792</v>
      </c>
      <c r="P126" s="1" t="s">
        <v>28</v>
      </c>
    </row>
    <row r="127" ht="15.75" customHeight="1">
      <c r="A127" s="1" t="s">
        <v>793</v>
      </c>
      <c r="B127" s="1" t="s">
        <v>794</v>
      </c>
      <c r="D127" s="1" t="s">
        <v>17</v>
      </c>
      <c r="E127" s="1" t="s">
        <v>795</v>
      </c>
      <c r="F127" s="1" t="s">
        <v>796</v>
      </c>
      <c r="G127" s="1" t="s">
        <v>21</v>
      </c>
      <c r="H127" s="1" t="s">
        <v>22</v>
      </c>
      <c r="I127" s="1" t="s">
        <v>17</v>
      </c>
      <c r="J127" s="1" t="s">
        <v>17</v>
      </c>
      <c r="K127" s="1" t="s">
        <v>449</v>
      </c>
      <c r="L127" s="1" t="s">
        <v>17</v>
      </c>
      <c r="M127" s="1" t="s">
        <v>17</v>
      </c>
      <c r="N127" s="1" t="s">
        <v>17</v>
      </c>
      <c r="O127" s="1" t="s">
        <v>320</v>
      </c>
      <c r="P127" s="1" t="s">
        <v>28</v>
      </c>
    </row>
    <row r="128" ht="15.75" customHeight="1">
      <c r="A128" s="1" t="s">
        <v>797</v>
      </c>
      <c r="B128" s="1" t="s">
        <v>798</v>
      </c>
      <c r="D128" s="1" t="str">
        <f>image("https://lh3.googleusercontent.com/p/AF1QipNOq_vQRngj21S9aRDoiOg76ZOxCdgEUSXocTMa=s680-w680-h510")</f>
        <v/>
      </c>
      <c r="E128" s="1" t="s">
        <v>799</v>
      </c>
      <c r="F128" s="1" t="s">
        <v>800</v>
      </c>
      <c r="G128" s="1" t="s">
        <v>21</v>
      </c>
      <c r="H128" s="1" t="s">
        <v>22</v>
      </c>
      <c r="I128" s="1" t="s">
        <v>17</v>
      </c>
      <c r="J128" s="1" t="s">
        <v>17</v>
      </c>
      <c r="K128" s="1" t="s">
        <v>801</v>
      </c>
      <c r="L128" s="1" t="s">
        <v>17</v>
      </c>
      <c r="M128" s="1" t="s">
        <v>802</v>
      </c>
      <c r="N128" s="1" t="s">
        <v>803</v>
      </c>
      <c r="O128" s="1" t="s">
        <v>320</v>
      </c>
      <c r="P128" s="1" t="s">
        <v>28</v>
      </c>
    </row>
    <row r="129" ht="15.75" customHeight="1">
      <c r="A129" s="1" t="s">
        <v>804</v>
      </c>
      <c r="B129" s="1" t="s">
        <v>17</v>
      </c>
      <c r="C129" s="1" t="s">
        <v>805</v>
      </c>
      <c r="D129" s="1" t="str">
        <f>image("https://lh3.googleusercontent.com/p/AF1QipOCbiz5M2O4SdoX7-4cun89hfx0e2i2ox16mk1S=s680-w680-h510")</f>
        <v/>
      </c>
      <c r="E129" s="1" t="s">
        <v>806</v>
      </c>
      <c r="F129" s="1" t="s">
        <v>807</v>
      </c>
      <c r="G129" s="1" t="s">
        <v>21</v>
      </c>
      <c r="H129" s="1" t="s">
        <v>22</v>
      </c>
      <c r="I129" s="1" t="s">
        <v>17</v>
      </c>
      <c r="J129" s="1" t="s">
        <v>17</v>
      </c>
      <c r="K129" s="1" t="s">
        <v>808</v>
      </c>
      <c r="L129" s="1" t="s">
        <v>17</v>
      </c>
      <c r="M129" s="1" t="s">
        <v>17</v>
      </c>
      <c r="N129" s="1" t="s">
        <v>17</v>
      </c>
      <c r="O129" s="1" t="s">
        <v>809</v>
      </c>
      <c r="P129" s="1" t="s">
        <v>28</v>
      </c>
    </row>
    <row r="130" ht="15.75" customHeight="1">
      <c r="A130" s="1" t="s">
        <v>810</v>
      </c>
      <c r="B130" s="1" t="s">
        <v>83</v>
      </c>
      <c r="C130" s="1" t="s">
        <v>215</v>
      </c>
      <c r="D130" s="1" t="str">
        <f>image("https://lh3.googleusercontent.com/p/AF1QipNnzG0TQE0xMOOMFtrX2qr3bw6BbMd949v4Xuzk=s680-w680-h510")</f>
        <v/>
      </c>
      <c r="E130" s="1" t="s">
        <v>811</v>
      </c>
      <c r="F130" s="1" t="s">
        <v>812</v>
      </c>
      <c r="G130" s="1" t="s">
        <v>21</v>
      </c>
      <c r="H130" s="1" t="s">
        <v>22</v>
      </c>
      <c r="I130" s="1" t="s">
        <v>17</v>
      </c>
      <c r="J130" s="1" t="s">
        <v>813</v>
      </c>
      <c r="K130" s="1" t="s">
        <v>814</v>
      </c>
      <c r="L130" s="1" t="s">
        <v>815</v>
      </c>
      <c r="M130" s="1" t="s">
        <v>17</v>
      </c>
      <c r="N130" s="1" t="s">
        <v>816</v>
      </c>
      <c r="O130" s="1" t="s">
        <v>41</v>
      </c>
      <c r="P130" s="1" t="s">
        <v>28</v>
      </c>
    </row>
    <row r="131" ht="15.75" customHeight="1">
      <c r="A131" s="1" t="s">
        <v>817</v>
      </c>
      <c r="B131" s="1" t="s">
        <v>818</v>
      </c>
      <c r="C131" s="7">
        <v>45417.0</v>
      </c>
      <c r="D131" s="1" t="s">
        <v>17</v>
      </c>
      <c r="E131" s="1" t="s">
        <v>819</v>
      </c>
      <c r="F131" s="1" t="s">
        <v>820</v>
      </c>
      <c r="G131" s="1" t="s">
        <v>21</v>
      </c>
      <c r="H131" s="1" t="s">
        <v>22</v>
      </c>
      <c r="I131" s="1" t="s">
        <v>17</v>
      </c>
      <c r="J131" s="1" t="s">
        <v>17</v>
      </c>
      <c r="K131" s="1" t="s">
        <v>449</v>
      </c>
      <c r="L131" s="1" t="s">
        <v>17</v>
      </c>
      <c r="M131" s="1" t="s">
        <v>821</v>
      </c>
      <c r="N131" s="1" t="s">
        <v>17</v>
      </c>
      <c r="O131" s="1" t="s">
        <v>320</v>
      </c>
      <c r="P131" s="1" t="s">
        <v>28</v>
      </c>
    </row>
    <row r="132" ht="15.75" customHeight="1">
      <c r="A132" s="1" t="s">
        <v>822</v>
      </c>
      <c r="B132" s="1" t="s">
        <v>823</v>
      </c>
      <c r="D132" s="1" t="s">
        <v>17</v>
      </c>
      <c r="E132" s="1" t="s">
        <v>824</v>
      </c>
      <c r="F132" s="1" t="s">
        <v>825</v>
      </c>
      <c r="G132" s="1" t="s">
        <v>21</v>
      </c>
      <c r="H132" s="1" t="s">
        <v>22</v>
      </c>
      <c r="I132" s="1" t="s">
        <v>389</v>
      </c>
      <c r="J132" s="1" t="s">
        <v>17</v>
      </c>
      <c r="K132" s="1" t="s">
        <v>826</v>
      </c>
      <c r="L132" s="1" t="s">
        <v>17</v>
      </c>
      <c r="M132" s="1" t="s">
        <v>17</v>
      </c>
      <c r="N132" s="1" t="s">
        <v>17</v>
      </c>
      <c r="O132" s="1" t="s">
        <v>827</v>
      </c>
      <c r="P132" s="1" t="s">
        <v>28</v>
      </c>
    </row>
    <row r="133" ht="15.75" customHeight="1">
      <c r="A133" s="1" t="s">
        <v>828</v>
      </c>
      <c r="B133" s="1" t="s">
        <v>17</v>
      </c>
      <c r="C133" s="1" t="s">
        <v>829</v>
      </c>
      <c r="D133" s="1" t="s">
        <v>17</v>
      </c>
      <c r="E133" s="1" t="s">
        <v>830</v>
      </c>
      <c r="F133" s="1" t="s">
        <v>831</v>
      </c>
      <c r="G133" s="1" t="s">
        <v>21</v>
      </c>
      <c r="H133" s="1" t="s">
        <v>22</v>
      </c>
      <c r="I133" s="1" t="s">
        <v>309</v>
      </c>
      <c r="J133" s="1" t="s">
        <v>17</v>
      </c>
      <c r="K133" s="1" t="s">
        <v>832</v>
      </c>
      <c r="L133" s="1" t="s">
        <v>17</v>
      </c>
      <c r="M133" s="1" t="s">
        <v>833</v>
      </c>
      <c r="N133" s="1" t="s">
        <v>17</v>
      </c>
      <c r="O133" s="1" t="s">
        <v>834</v>
      </c>
      <c r="P133" s="1" t="s">
        <v>28</v>
      </c>
    </row>
    <row r="134" ht="15.75" customHeight="1">
      <c r="A134" s="1" t="s">
        <v>835</v>
      </c>
      <c r="B134" s="1" t="s">
        <v>17</v>
      </c>
      <c r="D134" s="1" t="s">
        <v>17</v>
      </c>
      <c r="E134" s="1" t="s">
        <v>836</v>
      </c>
      <c r="F134" s="1" t="s">
        <v>837</v>
      </c>
      <c r="G134" s="1" t="s">
        <v>21</v>
      </c>
      <c r="H134" s="1" t="s">
        <v>22</v>
      </c>
      <c r="I134" s="1" t="s">
        <v>17</v>
      </c>
      <c r="J134" s="1" t="s">
        <v>17</v>
      </c>
      <c r="K134" s="1" t="s">
        <v>838</v>
      </c>
      <c r="L134" s="1" t="s">
        <v>17</v>
      </c>
      <c r="M134" s="1" t="s">
        <v>839</v>
      </c>
      <c r="N134" s="1" t="s">
        <v>17</v>
      </c>
      <c r="O134" s="1" t="s">
        <v>840</v>
      </c>
      <c r="P134" s="1" t="s">
        <v>28</v>
      </c>
    </row>
    <row r="135" ht="15.75" customHeight="1">
      <c r="A135" s="1" t="s">
        <v>841</v>
      </c>
      <c r="B135" s="1" t="s">
        <v>842</v>
      </c>
      <c r="D135" s="1" t="s">
        <v>17</v>
      </c>
      <c r="E135" s="1" t="s">
        <v>843</v>
      </c>
      <c r="F135" s="1" t="s">
        <v>844</v>
      </c>
      <c r="G135" s="1" t="s">
        <v>21</v>
      </c>
      <c r="H135" s="1" t="s">
        <v>22</v>
      </c>
      <c r="I135" s="1" t="s">
        <v>17</v>
      </c>
      <c r="J135" s="1" t="s">
        <v>17</v>
      </c>
      <c r="K135" s="1" t="s">
        <v>801</v>
      </c>
      <c r="L135" s="1" t="s">
        <v>17</v>
      </c>
      <c r="M135" s="1" t="s">
        <v>17</v>
      </c>
      <c r="N135" s="1" t="s">
        <v>845</v>
      </c>
      <c r="O135" s="1" t="s">
        <v>846</v>
      </c>
      <c r="P135" s="1" t="s">
        <v>28</v>
      </c>
    </row>
    <row r="136" ht="15.75" customHeight="1">
      <c r="A136" s="1" t="s">
        <v>847</v>
      </c>
      <c r="B136" s="1" t="s">
        <v>848</v>
      </c>
      <c r="C136" s="1" t="s">
        <v>74</v>
      </c>
      <c r="D136" s="1" t="s">
        <v>17</v>
      </c>
      <c r="E136" s="1" t="s">
        <v>849</v>
      </c>
      <c r="F136" s="1" t="s">
        <v>850</v>
      </c>
      <c r="G136" s="1" t="s">
        <v>21</v>
      </c>
      <c r="H136" s="1" t="s">
        <v>22</v>
      </c>
      <c r="I136" s="1" t="s">
        <v>23</v>
      </c>
      <c r="J136" s="1" t="s">
        <v>17</v>
      </c>
      <c r="K136" s="1" t="s">
        <v>851</v>
      </c>
      <c r="L136" s="1" t="s">
        <v>17</v>
      </c>
      <c r="M136" s="1" t="s">
        <v>852</v>
      </c>
      <c r="N136" s="1" t="s">
        <v>853</v>
      </c>
      <c r="O136" s="1" t="s">
        <v>854</v>
      </c>
      <c r="P136" s="1" t="s">
        <v>28</v>
      </c>
    </row>
    <row r="137" ht="15.75" customHeight="1">
      <c r="A137" s="1" t="s">
        <v>855</v>
      </c>
      <c r="B137" s="1" t="s">
        <v>856</v>
      </c>
      <c r="D137" s="1" t="str">
        <f>image("https://lh3.googleusercontent.com/p/AF1QipOwZfHxyv7IUZHeHcpl2RJ5vq91WqonNBr03GZz=s680-w680-h510")</f>
        <v/>
      </c>
      <c r="E137" s="1" t="s">
        <v>857</v>
      </c>
      <c r="F137" s="1" t="s">
        <v>858</v>
      </c>
      <c r="G137" s="1" t="s">
        <v>21</v>
      </c>
      <c r="H137" s="1" t="s">
        <v>22</v>
      </c>
      <c r="I137" s="1" t="s">
        <v>23</v>
      </c>
      <c r="J137" s="1" t="s">
        <v>17</v>
      </c>
      <c r="K137" s="1" t="s">
        <v>859</v>
      </c>
      <c r="L137" s="1" t="s">
        <v>17</v>
      </c>
      <c r="M137" s="1" t="s">
        <v>860</v>
      </c>
      <c r="N137" s="1" t="s">
        <v>17</v>
      </c>
      <c r="O137" s="1" t="s">
        <v>861</v>
      </c>
      <c r="P137" s="1" t="s">
        <v>28</v>
      </c>
    </row>
    <row r="138" ht="15.75" customHeight="1">
      <c r="A138" s="1" t="s">
        <v>862</v>
      </c>
      <c r="B138" s="1" t="s">
        <v>863</v>
      </c>
      <c r="C138" s="7">
        <v>45415.0</v>
      </c>
      <c r="D138" s="1" t="str">
        <f>image("https://lh3.googleusercontent.com/p/AF1QipMC-5EImSB-CbZ3uaUtsTSQ3fh2VhQXO5iNOr0E=s680-w680-h510")</f>
        <v/>
      </c>
      <c r="E138" s="1" t="s">
        <v>864</v>
      </c>
      <c r="F138" s="1" t="s">
        <v>865</v>
      </c>
      <c r="G138" s="1" t="s">
        <v>21</v>
      </c>
      <c r="H138" s="1" t="s">
        <v>22</v>
      </c>
      <c r="I138" s="1" t="s">
        <v>866</v>
      </c>
      <c r="J138" s="1" t="s">
        <v>17</v>
      </c>
      <c r="K138" s="1" t="s">
        <v>867</v>
      </c>
      <c r="L138" s="1" t="s">
        <v>17</v>
      </c>
      <c r="M138" s="1" t="s">
        <v>17</v>
      </c>
      <c r="N138" s="1" t="s">
        <v>868</v>
      </c>
      <c r="O138" s="1" t="s">
        <v>869</v>
      </c>
      <c r="P138" s="1" t="s">
        <v>28</v>
      </c>
    </row>
    <row r="139" ht="15.75" customHeight="1">
      <c r="A139" s="1" t="s">
        <v>870</v>
      </c>
      <c r="B139" s="1" t="s">
        <v>871</v>
      </c>
      <c r="C139" s="1"/>
      <c r="D139" s="1" t="s">
        <v>17</v>
      </c>
      <c r="E139" s="1" t="s">
        <v>17</v>
      </c>
      <c r="F139" s="1" t="s">
        <v>17</v>
      </c>
      <c r="G139" s="1" t="s">
        <v>17</v>
      </c>
      <c r="H139" s="1" t="s">
        <v>22</v>
      </c>
      <c r="I139" s="1" t="s">
        <v>17</v>
      </c>
      <c r="J139" s="1" t="s">
        <v>17</v>
      </c>
      <c r="K139" s="1" t="s">
        <v>17</v>
      </c>
      <c r="L139" s="1" t="s">
        <v>17</v>
      </c>
      <c r="M139" s="1" t="s">
        <v>17</v>
      </c>
      <c r="N139" s="1" t="s">
        <v>872</v>
      </c>
      <c r="O139" s="1" t="s">
        <v>41</v>
      </c>
      <c r="P139" s="1" t="s">
        <v>28</v>
      </c>
    </row>
    <row r="140" ht="15.75" customHeight="1">
      <c r="A140" s="1" t="s">
        <v>873</v>
      </c>
      <c r="B140" s="1" t="s">
        <v>874</v>
      </c>
      <c r="C140" s="1" t="s">
        <v>875</v>
      </c>
      <c r="D140" s="1" t="s">
        <v>17</v>
      </c>
      <c r="E140" s="1" t="s">
        <v>876</v>
      </c>
      <c r="F140" s="1" t="s">
        <v>877</v>
      </c>
      <c r="G140" s="1" t="s">
        <v>21</v>
      </c>
      <c r="H140" s="1" t="s">
        <v>22</v>
      </c>
      <c r="I140" s="1" t="s">
        <v>17</v>
      </c>
      <c r="J140" s="1" t="s">
        <v>17</v>
      </c>
      <c r="K140" s="1" t="s">
        <v>449</v>
      </c>
      <c r="L140" s="1" t="s">
        <v>17</v>
      </c>
      <c r="M140" s="1" t="s">
        <v>17</v>
      </c>
      <c r="N140" s="1" t="s">
        <v>17</v>
      </c>
      <c r="O140" s="1" t="s">
        <v>320</v>
      </c>
      <c r="P140" s="1" t="s">
        <v>28</v>
      </c>
    </row>
    <row r="141" ht="15.75" customHeight="1">
      <c r="A141" s="1" t="s">
        <v>878</v>
      </c>
      <c r="B141" s="1" t="s">
        <v>93</v>
      </c>
      <c r="D141" s="1" t="str">
        <f>image("https://lh3.googleusercontent.com/p/AF1QipPM3eB-YOlhOMuZbI1u_noEDK4ZNom_gnptSkGd=s680-w680-h510")</f>
        <v/>
      </c>
      <c r="E141" s="1" t="s">
        <v>879</v>
      </c>
      <c r="F141" s="1" t="s">
        <v>880</v>
      </c>
      <c r="G141" s="1" t="s">
        <v>21</v>
      </c>
      <c r="H141" s="1" t="s">
        <v>22</v>
      </c>
      <c r="I141" s="1" t="s">
        <v>17</v>
      </c>
      <c r="J141" s="1" t="s">
        <v>881</v>
      </c>
      <c r="K141" s="1" t="s">
        <v>882</v>
      </c>
      <c r="L141" s="1" t="s">
        <v>883</v>
      </c>
      <c r="M141" s="1" t="s">
        <v>17</v>
      </c>
      <c r="N141" s="1" t="s">
        <v>17</v>
      </c>
      <c r="O141" s="1" t="s">
        <v>884</v>
      </c>
      <c r="P141" s="1" t="s">
        <v>28</v>
      </c>
    </row>
    <row r="142" ht="15.75" customHeight="1">
      <c r="A142" s="1" t="s">
        <v>885</v>
      </c>
      <c r="B142" s="1" t="s">
        <v>886</v>
      </c>
      <c r="D142" s="1" t="s">
        <v>17</v>
      </c>
      <c r="E142" s="1" t="s">
        <v>887</v>
      </c>
      <c r="F142" s="1" t="s">
        <v>888</v>
      </c>
      <c r="G142" s="1" t="s">
        <v>21</v>
      </c>
      <c r="H142" s="1" t="s">
        <v>22</v>
      </c>
      <c r="I142" s="1" t="s">
        <v>17</v>
      </c>
      <c r="J142" s="1" t="s">
        <v>17</v>
      </c>
      <c r="K142" s="1" t="s">
        <v>889</v>
      </c>
      <c r="L142" s="1" t="s">
        <v>17</v>
      </c>
      <c r="M142" s="1" t="s">
        <v>17</v>
      </c>
      <c r="N142" s="1" t="s">
        <v>890</v>
      </c>
      <c r="O142" s="1" t="s">
        <v>891</v>
      </c>
      <c r="P142" s="1" t="s">
        <v>28</v>
      </c>
    </row>
    <row r="143" ht="15.75" customHeight="1">
      <c r="A143" s="1" t="s">
        <v>892</v>
      </c>
      <c r="B143" s="1" t="s">
        <v>17</v>
      </c>
      <c r="D143" s="1" t="s">
        <v>17</v>
      </c>
      <c r="E143" s="1" t="s">
        <v>893</v>
      </c>
      <c r="F143" s="1" t="s">
        <v>894</v>
      </c>
      <c r="G143" s="1" t="s">
        <v>21</v>
      </c>
      <c r="H143" s="1" t="s">
        <v>22</v>
      </c>
      <c r="I143" s="1" t="s">
        <v>17</v>
      </c>
      <c r="J143" s="1" t="s">
        <v>17</v>
      </c>
      <c r="K143" s="1" t="s">
        <v>895</v>
      </c>
      <c r="L143" s="1" t="s">
        <v>17</v>
      </c>
      <c r="M143" s="1" t="s">
        <v>896</v>
      </c>
      <c r="N143" s="1" t="s">
        <v>897</v>
      </c>
      <c r="O143" s="1" t="s">
        <v>898</v>
      </c>
      <c r="P143" s="1" t="s">
        <v>28</v>
      </c>
    </row>
    <row r="144" ht="15.75" customHeight="1">
      <c r="A144" s="1" t="s">
        <v>899</v>
      </c>
      <c r="B144" s="1" t="s">
        <v>900</v>
      </c>
      <c r="D144" s="1" t="str">
        <f>image("https://lh3.googleusercontent.com/p/AF1QipOYQqeowy_kmneilGy8ZYxoG4bngPBLf9Qf0bp-=s680-w680-h510")</f>
        <v/>
      </c>
      <c r="E144" s="1" t="s">
        <v>901</v>
      </c>
      <c r="F144" s="1" t="s">
        <v>902</v>
      </c>
      <c r="G144" s="1" t="s">
        <v>21</v>
      </c>
      <c r="H144" s="1" t="s">
        <v>22</v>
      </c>
      <c r="I144" s="1" t="s">
        <v>17</v>
      </c>
      <c r="J144" s="1" t="s">
        <v>17</v>
      </c>
      <c r="K144" s="1" t="s">
        <v>449</v>
      </c>
      <c r="L144" s="1" t="s">
        <v>17</v>
      </c>
      <c r="M144" s="1" t="s">
        <v>17</v>
      </c>
      <c r="N144" s="1" t="s">
        <v>17</v>
      </c>
      <c r="O144" s="1" t="s">
        <v>320</v>
      </c>
      <c r="P144" s="1" t="s">
        <v>28</v>
      </c>
    </row>
    <row r="145" ht="15.75" customHeight="1">
      <c r="A145" s="1" t="s">
        <v>903</v>
      </c>
      <c r="B145" s="1" t="s">
        <v>904</v>
      </c>
      <c r="D145" s="1" t="str">
        <f>image("https://lh3.googleusercontent.com/p/AF1QipMyWy4ZdLyfrlV69_lsPKvX-gcM068odAOIxWMd=s680-w680-h510")</f>
        <v/>
      </c>
      <c r="E145" s="1" t="s">
        <v>905</v>
      </c>
      <c r="F145" s="1" t="s">
        <v>906</v>
      </c>
      <c r="G145" s="1" t="s">
        <v>21</v>
      </c>
      <c r="H145" s="1" t="s">
        <v>22</v>
      </c>
      <c r="I145" s="1" t="s">
        <v>17</v>
      </c>
      <c r="J145" s="1" t="s">
        <v>17</v>
      </c>
      <c r="K145" s="1" t="s">
        <v>449</v>
      </c>
      <c r="L145" s="1" t="s">
        <v>17</v>
      </c>
      <c r="M145" s="1" t="s">
        <v>17</v>
      </c>
      <c r="N145" s="1" t="s">
        <v>17</v>
      </c>
      <c r="O145" s="1" t="s">
        <v>320</v>
      </c>
      <c r="P145" s="1" t="s">
        <v>28</v>
      </c>
    </row>
    <row r="146" ht="15.75" customHeight="1">
      <c r="A146" s="1" t="s">
        <v>907</v>
      </c>
      <c r="B146" s="1" t="s">
        <v>17</v>
      </c>
      <c r="D146" s="1" t="str">
        <f>image("https://lh3.googleusercontent.com/p/AF1QipNbf4Mk8n0ssma-xrikk6ypR-Ri4N84XiYuHFTi=s680-w680-h510")</f>
        <v/>
      </c>
      <c r="E146" s="1" t="s">
        <v>908</v>
      </c>
      <c r="F146" s="1" t="s">
        <v>909</v>
      </c>
      <c r="G146" s="1" t="s">
        <v>21</v>
      </c>
      <c r="H146" s="1" t="s">
        <v>22</v>
      </c>
      <c r="I146" s="1" t="s">
        <v>17</v>
      </c>
      <c r="J146" s="1" t="s">
        <v>17</v>
      </c>
      <c r="K146" s="1" t="s">
        <v>17</v>
      </c>
      <c r="L146" s="1" t="s">
        <v>17</v>
      </c>
      <c r="M146" s="1" t="s">
        <v>210</v>
      </c>
      <c r="N146" s="1" t="s">
        <v>17</v>
      </c>
      <c r="O146" s="1" t="s">
        <v>910</v>
      </c>
      <c r="P146" s="1" t="s">
        <v>28</v>
      </c>
    </row>
    <row r="147" ht="15.75" customHeight="1">
      <c r="A147" s="1" t="s">
        <v>911</v>
      </c>
      <c r="B147" s="1" t="s">
        <v>912</v>
      </c>
      <c r="D147" s="1" t="str">
        <f>image("https://lh3.googleusercontent.com/p/AF1QipPanadEGAS4jn1TCP91-qEjj__mEdCY5EnIvFCh=s680-w680-h510")</f>
        <v/>
      </c>
      <c r="E147" s="1" t="s">
        <v>913</v>
      </c>
      <c r="F147" s="1" t="s">
        <v>914</v>
      </c>
      <c r="G147" s="1" t="s">
        <v>21</v>
      </c>
      <c r="H147" s="1" t="s">
        <v>22</v>
      </c>
      <c r="I147" s="1" t="s">
        <v>17</v>
      </c>
      <c r="J147" s="1" t="s">
        <v>17</v>
      </c>
      <c r="K147" s="1" t="s">
        <v>449</v>
      </c>
      <c r="L147" s="1" t="s">
        <v>17</v>
      </c>
      <c r="M147" s="1" t="s">
        <v>915</v>
      </c>
      <c r="N147" s="1" t="s">
        <v>17</v>
      </c>
      <c r="O147" s="1" t="s">
        <v>320</v>
      </c>
      <c r="P147" s="1" t="s">
        <v>28</v>
      </c>
    </row>
    <row r="148" ht="15.75" customHeight="1">
      <c r="A148" s="1" t="s">
        <v>916</v>
      </c>
      <c r="B148" s="1" t="s">
        <v>917</v>
      </c>
      <c r="C148" s="1" t="s">
        <v>215</v>
      </c>
      <c r="D148" s="1" t="s">
        <v>17</v>
      </c>
      <c r="E148" s="1" t="s">
        <v>918</v>
      </c>
      <c r="F148" s="1" t="s">
        <v>919</v>
      </c>
      <c r="G148" s="1" t="s">
        <v>21</v>
      </c>
      <c r="H148" s="1" t="s">
        <v>22</v>
      </c>
      <c r="I148" s="1" t="s">
        <v>45</v>
      </c>
      <c r="J148" s="1" t="s">
        <v>17</v>
      </c>
      <c r="K148" s="1" t="s">
        <v>920</v>
      </c>
      <c r="L148" s="1" t="s">
        <v>17</v>
      </c>
      <c r="M148" s="1" t="s">
        <v>173</v>
      </c>
      <c r="N148" s="1" t="s">
        <v>17</v>
      </c>
      <c r="O148" s="1" t="s">
        <v>771</v>
      </c>
      <c r="P148" s="1" t="s">
        <v>28</v>
      </c>
    </row>
    <row r="149" ht="15.75" customHeight="1">
      <c r="A149" s="1" t="s">
        <v>921</v>
      </c>
      <c r="B149" s="1" t="s">
        <v>922</v>
      </c>
      <c r="D149" s="1" t="str">
        <f>image("https://lh3.googleusercontent.com/p/AF1QipNgkKV2QGQdxLfxjROUM1IiuL1SObU69cz8rtTQ=s680-w680-h510")</f>
        <v/>
      </c>
      <c r="E149" s="1" t="s">
        <v>923</v>
      </c>
      <c r="F149" s="1" t="s">
        <v>924</v>
      </c>
      <c r="G149" s="1" t="s">
        <v>21</v>
      </c>
      <c r="H149" s="1" t="s">
        <v>22</v>
      </c>
      <c r="I149" s="1" t="s">
        <v>17</v>
      </c>
      <c r="J149" s="1" t="s">
        <v>17</v>
      </c>
      <c r="K149" s="1" t="s">
        <v>449</v>
      </c>
      <c r="L149" s="1" t="s">
        <v>17</v>
      </c>
      <c r="M149" s="1" t="s">
        <v>925</v>
      </c>
      <c r="N149" s="1" t="s">
        <v>17</v>
      </c>
      <c r="O149" s="1" t="s">
        <v>320</v>
      </c>
      <c r="P149" s="1" t="s">
        <v>28</v>
      </c>
    </row>
    <row r="150" ht="15.75" customHeight="1">
      <c r="A150" s="1" t="s">
        <v>926</v>
      </c>
      <c r="B150" s="1" t="s">
        <v>927</v>
      </c>
      <c r="D150" s="1" t="str">
        <f>image("https://lh3.googleusercontent.com/p/AF1QipNKGeReBIzXYcykivuiyyfxV69X9FNT_p77i5WJ=s680-w680-h510")</f>
        <v/>
      </c>
      <c r="E150" s="1" t="s">
        <v>928</v>
      </c>
      <c r="F150" s="1" t="s">
        <v>929</v>
      </c>
      <c r="G150" s="1" t="s">
        <v>21</v>
      </c>
      <c r="H150" s="1" t="s">
        <v>22</v>
      </c>
      <c r="I150" s="1" t="s">
        <v>930</v>
      </c>
      <c r="J150" s="1" t="s">
        <v>17</v>
      </c>
      <c r="K150" s="1" t="s">
        <v>931</v>
      </c>
      <c r="L150" s="1" t="s">
        <v>17</v>
      </c>
      <c r="M150" s="1" t="s">
        <v>932</v>
      </c>
      <c r="N150" s="1" t="s">
        <v>17</v>
      </c>
      <c r="O150" s="1" t="s">
        <v>41</v>
      </c>
      <c r="P150" s="1" t="s">
        <v>28</v>
      </c>
    </row>
    <row r="151" ht="15.75" customHeight="1">
      <c r="A151" s="1" t="s">
        <v>933</v>
      </c>
      <c r="B151" s="1" t="s">
        <v>83</v>
      </c>
      <c r="C151" s="1" t="s">
        <v>215</v>
      </c>
      <c r="D151" s="1" t="str">
        <f>image("https://lh3.googleusercontent.com/p/AF1QipMZLJLaEe94G3jndwGT1Ryc9mKRnurh1EGUnt4E=s680-w680-h510")</f>
        <v/>
      </c>
      <c r="E151" s="1" t="s">
        <v>934</v>
      </c>
      <c r="F151" s="1" t="s">
        <v>935</v>
      </c>
      <c r="G151" s="1" t="s">
        <v>21</v>
      </c>
      <c r="H151" s="1" t="s">
        <v>22</v>
      </c>
      <c r="I151" s="1" t="s">
        <v>17</v>
      </c>
      <c r="J151" s="1" t="s">
        <v>936</v>
      </c>
      <c r="K151" s="1" t="s">
        <v>937</v>
      </c>
      <c r="L151" s="1" t="s">
        <v>938</v>
      </c>
      <c r="M151" s="1" t="s">
        <v>17</v>
      </c>
      <c r="N151" s="1" t="s">
        <v>17</v>
      </c>
      <c r="O151" s="1" t="s">
        <v>939</v>
      </c>
      <c r="P151" s="1" t="s">
        <v>28</v>
      </c>
    </row>
    <row r="152" ht="15.75" customHeight="1">
      <c r="A152" s="1" t="s">
        <v>940</v>
      </c>
      <c r="B152" s="1" t="s">
        <v>941</v>
      </c>
      <c r="D152" s="1" t="s">
        <v>17</v>
      </c>
      <c r="E152" s="1" t="s">
        <v>942</v>
      </c>
      <c r="F152" s="1" t="s">
        <v>943</v>
      </c>
      <c r="G152" s="1" t="s">
        <v>21</v>
      </c>
      <c r="H152" s="1" t="s">
        <v>22</v>
      </c>
      <c r="I152" s="1" t="s">
        <v>23</v>
      </c>
      <c r="J152" s="1" t="s">
        <v>17</v>
      </c>
      <c r="K152" s="1" t="s">
        <v>944</v>
      </c>
      <c r="L152" s="1" t="s">
        <v>17</v>
      </c>
      <c r="M152" s="1" t="s">
        <v>520</v>
      </c>
      <c r="N152" s="1" t="s">
        <v>945</v>
      </c>
      <c r="O152" s="1" t="s">
        <v>522</v>
      </c>
      <c r="P152" s="1" t="s">
        <v>28</v>
      </c>
    </row>
    <row r="153" ht="15.75" customHeight="1">
      <c r="A153" s="1" t="s">
        <v>946</v>
      </c>
      <c r="B153" s="1" t="s">
        <v>17</v>
      </c>
      <c r="C153" s="7">
        <v>45417.0</v>
      </c>
      <c r="D153" s="1" t="str">
        <f>image("https://lh3.googleusercontent.com/proxy/8BlRu5qUpfk8GcDUd-mHS3s_f5nfxqo7pJMmhLC_Fi8hu8igyLhn8Zcjla9b9rU3hLlfj3OUBoS7QC0XFyueeZ1hGp7UrooPAChga_-ybjCVGOrCoeaIle5am4TuZ_GNmbvZR8blXzP0n8vlHYh4zzPidEF19cmkkDiYHA=s680-w680-h510")</f>
        <v/>
      </c>
      <c r="E153" s="1" t="s">
        <v>947</v>
      </c>
      <c r="F153" s="1" t="s">
        <v>948</v>
      </c>
      <c r="G153" s="1" t="s">
        <v>21</v>
      </c>
      <c r="H153" s="1" t="s">
        <v>22</v>
      </c>
      <c r="I153" s="1" t="s">
        <v>17</v>
      </c>
      <c r="J153" s="1" t="s">
        <v>17</v>
      </c>
      <c r="K153" s="1" t="s">
        <v>949</v>
      </c>
      <c r="L153" s="1" t="s">
        <v>17</v>
      </c>
      <c r="M153" s="1" t="s">
        <v>17</v>
      </c>
      <c r="N153" s="1" t="s">
        <v>950</v>
      </c>
      <c r="O153" s="1" t="s">
        <v>951</v>
      </c>
      <c r="P153" s="1" t="s">
        <v>28</v>
      </c>
    </row>
    <row r="154" ht="15.75" customHeight="1">
      <c r="A154" s="1" t="s">
        <v>952</v>
      </c>
      <c r="B154" s="1" t="s">
        <v>953</v>
      </c>
      <c r="D154" s="1" t="str">
        <f>image("https://lh3.googleusercontent.com/p/AF1QipO-KI9NHNlmlmS6VneudH6f9hWtB25GzD8H9CP4=s680-w680-h510")</f>
        <v/>
      </c>
      <c r="E154" s="1" t="s">
        <v>954</v>
      </c>
      <c r="F154" s="1" t="s">
        <v>955</v>
      </c>
      <c r="G154" s="1" t="s">
        <v>21</v>
      </c>
      <c r="H154" s="1" t="s">
        <v>22</v>
      </c>
      <c r="I154" s="1" t="s">
        <v>17</v>
      </c>
      <c r="J154" s="1" t="s">
        <v>956</v>
      </c>
      <c r="K154" s="1" t="s">
        <v>957</v>
      </c>
      <c r="L154" s="1" t="s">
        <v>17</v>
      </c>
      <c r="M154" s="1" t="s">
        <v>17</v>
      </c>
      <c r="N154" s="1" t="s">
        <v>17</v>
      </c>
      <c r="O154" s="1" t="s">
        <v>41</v>
      </c>
      <c r="P154" s="1" t="s">
        <v>28</v>
      </c>
    </row>
    <row r="155" ht="15.75" customHeight="1">
      <c r="A155" s="1" t="s">
        <v>958</v>
      </c>
      <c r="B155" s="1" t="s">
        <v>959</v>
      </c>
      <c r="C155" s="1" t="s">
        <v>65</v>
      </c>
      <c r="D155" s="1" t="s">
        <v>17</v>
      </c>
      <c r="E155" s="1" t="s">
        <v>960</v>
      </c>
      <c r="F155" s="1" t="s">
        <v>961</v>
      </c>
      <c r="G155" s="1" t="s">
        <v>21</v>
      </c>
      <c r="H155" s="1" t="s">
        <v>22</v>
      </c>
      <c r="I155" s="1" t="s">
        <v>45</v>
      </c>
      <c r="J155" s="1" t="s">
        <v>17</v>
      </c>
      <c r="K155" s="1" t="s">
        <v>962</v>
      </c>
      <c r="L155" s="1" t="s">
        <v>17</v>
      </c>
      <c r="M155" s="1" t="s">
        <v>963</v>
      </c>
      <c r="N155" s="1" t="s">
        <v>964</v>
      </c>
      <c r="O155" s="1" t="s">
        <v>175</v>
      </c>
      <c r="P155" s="1" t="s">
        <v>28</v>
      </c>
    </row>
    <row r="156" ht="15.75" customHeight="1">
      <c r="A156" s="1" t="s">
        <v>965</v>
      </c>
      <c r="B156" s="1" t="s">
        <v>17</v>
      </c>
      <c r="D156" s="1" t="s">
        <v>17</v>
      </c>
      <c r="E156" s="1" t="s">
        <v>17</v>
      </c>
      <c r="F156" s="1" t="s">
        <v>37</v>
      </c>
      <c r="G156" s="1" t="s">
        <v>21</v>
      </c>
      <c r="H156" s="1" t="s">
        <v>22</v>
      </c>
      <c r="I156" s="1" t="s">
        <v>17</v>
      </c>
      <c r="J156" s="1" t="s">
        <v>17</v>
      </c>
      <c r="K156" s="1" t="s">
        <v>17</v>
      </c>
      <c r="L156" s="1" t="s">
        <v>17</v>
      </c>
      <c r="M156" s="1" t="s">
        <v>17</v>
      </c>
      <c r="N156" s="1" t="s">
        <v>966</v>
      </c>
      <c r="O156" s="1" t="s">
        <v>41</v>
      </c>
      <c r="P156" s="1" t="s">
        <v>28</v>
      </c>
    </row>
    <row r="157" ht="15.75" customHeight="1">
      <c r="A157" s="1" t="s">
        <v>967</v>
      </c>
      <c r="B157" s="1" t="s">
        <v>968</v>
      </c>
      <c r="D157" s="1" t="str">
        <f>image("https://lh3.googleusercontent.com/p/AF1QipMPpGoTFka9ogW7eH8GmQEi-dKOBwJwcNTUIx9k=s680-w680-h510")</f>
        <v/>
      </c>
      <c r="E157" s="1" t="s">
        <v>969</v>
      </c>
      <c r="F157" s="1" t="s">
        <v>970</v>
      </c>
      <c r="G157" s="1" t="s">
        <v>21</v>
      </c>
      <c r="H157" s="1" t="s">
        <v>22</v>
      </c>
      <c r="I157" s="1" t="s">
        <v>17</v>
      </c>
      <c r="J157" s="1" t="s">
        <v>17</v>
      </c>
      <c r="K157" s="1" t="s">
        <v>449</v>
      </c>
      <c r="L157" s="1" t="s">
        <v>17</v>
      </c>
      <c r="M157" s="1" t="s">
        <v>17</v>
      </c>
      <c r="N157" s="1" t="s">
        <v>17</v>
      </c>
      <c r="O157" s="1" t="s">
        <v>320</v>
      </c>
      <c r="P157" s="1" t="s">
        <v>28</v>
      </c>
    </row>
    <row r="158" ht="15.75" customHeight="1">
      <c r="A158" s="1" t="s">
        <v>971</v>
      </c>
      <c r="B158" s="1" t="s">
        <v>93</v>
      </c>
      <c r="D158" s="1" t="str">
        <f>image("https://lh3.googleusercontent.com/p/AF1QipOWFPKt1bcrYmGOHgY3Kc6ppPYGrBpG6FKoriCf=s680-w680-h510")</f>
        <v/>
      </c>
      <c r="E158" s="1" t="s">
        <v>972</v>
      </c>
      <c r="F158" s="1" t="s">
        <v>973</v>
      </c>
      <c r="G158" s="1" t="s">
        <v>21</v>
      </c>
      <c r="H158" s="1" t="s">
        <v>22</v>
      </c>
      <c r="I158" s="1" t="s">
        <v>96</v>
      </c>
      <c r="J158" s="1" t="s">
        <v>974</v>
      </c>
      <c r="K158" s="1" t="s">
        <v>975</v>
      </c>
      <c r="L158" s="1" t="s">
        <v>976</v>
      </c>
      <c r="M158" s="1" t="s">
        <v>17</v>
      </c>
      <c r="N158" s="1" t="s">
        <v>977</v>
      </c>
      <c r="O158" s="1" t="s">
        <v>978</v>
      </c>
      <c r="P158" s="1" t="s">
        <v>28</v>
      </c>
    </row>
    <row r="159" ht="15.75" customHeight="1">
      <c r="A159" s="1" t="s">
        <v>979</v>
      </c>
      <c r="B159" s="1" t="s">
        <v>980</v>
      </c>
      <c r="C159" s="1" t="s">
        <v>18</v>
      </c>
      <c r="D159" s="1" t="s">
        <v>17</v>
      </c>
      <c r="E159" s="1" t="s">
        <v>981</v>
      </c>
      <c r="F159" s="1" t="s">
        <v>982</v>
      </c>
      <c r="G159" s="1" t="s">
        <v>21</v>
      </c>
      <c r="H159" s="1" t="s">
        <v>22</v>
      </c>
      <c r="I159" s="1" t="s">
        <v>17</v>
      </c>
      <c r="J159" s="1" t="s">
        <v>983</v>
      </c>
      <c r="K159" s="1" t="s">
        <v>984</v>
      </c>
      <c r="L159" s="1" t="s">
        <v>985</v>
      </c>
      <c r="M159" s="1" t="s">
        <v>17</v>
      </c>
      <c r="N159" s="1" t="s">
        <v>986</v>
      </c>
      <c r="O159" s="1" t="s">
        <v>987</v>
      </c>
      <c r="P159" s="1" t="s">
        <v>28</v>
      </c>
    </row>
    <row r="160" ht="15.75" customHeight="1">
      <c r="A160" s="1" t="s">
        <v>988</v>
      </c>
      <c r="B160" s="1" t="s">
        <v>989</v>
      </c>
      <c r="C160" s="1" t="s">
        <v>588</v>
      </c>
      <c r="D160" s="1" t="s">
        <v>17</v>
      </c>
      <c r="E160" s="1" t="s">
        <v>990</v>
      </c>
      <c r="F160" s="1" t="s">
        <v>991</v>
      </c>
      <c r="G160" s="1" t="s">
        <v>21</v>
      </c>
      <c r="H160" s="1" t="s">
        <v>22</v>
      </c>
      <c r="I160" s="1" t="s">
        <v>389</v>
      </c>
      <c r="J160" s="1" t="s">
        <v>17</v>
      </c>
      <c r="K160" s="1" t="s">
        <v>992</v>
      </c>
      <c r="L160" s="1" t="s">
        <v>17</v>
      </c>
      <c r="M160" s="1" t="s">
        <v>17</v>
      </c>
      <c r="N160" s="1" t="s">
        <v>17</v>
      </c>
      <c r="O160" s="1" t="s">
        <v>846</v>
      </c>
      <c r="P160" s="1" t="s">
        <v>28</v>
      </c>
    </row>
    <row r="161" ht="15.75" customHeight="1">
      <c r="A161" s="1" t="s">
        <v>993</v>
      </c>
      <c r="B161" s="1" t="s">
        <v>17</v>
      </c>
      <c r="D161" s="1" t="s">
        <v>17</v>
      </c>
      <c r="E161" s="1" t="s">
        <v>17</v>
      </c>
      <c r="F161" s="1" t="s">
        <v>17</v>
      </c>
      <c r="G161" s="1" t="s">
        <v>17</v>
      </c>
      <c r="H161" s="1" t="s">
        <v>22</v>
      </c>
      <c r="I161" s="1" t="s">
        <v>17</v>
      </c>
      <c r="J161" s="1" t="s">
        <v>17</v>
      </c>
      <c r="K161" s="1" t="s">
        <v>17</v>
      </c>
      <c r="L161" s="1" t="s">
        <v>994</v>
      </c>
      <c r="M161" s="1" t="s">
        <v>995</v>
      </c>
      <c r="N161" s="1" t="s">
        <v>996</v>
      </c>
      <c r="O161" s="1" t="s">
        <v>41</v>
      </c>
      <c r="P161" s="1" t="s">
        <v>28</v>
      </c>
    </row>
    <row r="162" ht="15.75" customHeight="1">
      <c r="A162" s="1" t="s">
        <v>997</v>
      </c>
      <c r="B162" s="1" t="s">
        <v>17</v>
      </c>
      <c r="D162" s="1" t="s">
        <v>17</v>
      </c>
      <c r="E162" s="1" t="s">
        <v>17</v>
      </c>
      <c r="F162" s="1" t="s">
        <v>17</v>
      </c>
      <c r="G162" s="1" t="s">
        <v>21</v>
      </c>
      <c r="H162" s="1" t="s">
        <v>22</v>
      </c>
      <c r="I162" s="1" t="s">
        <v>17</v>
      </c>
      <c r="J162" s="1" t="s">
        <v>17</v>
      </c>
      <c r="K162" s="1" t="s">
        <v>17</v>
      </c>
      <c r="L162" s="1" t="s">
        <v>998</v>
      </c>
      <c r="M162" s="1" t="s">
        <v>17</v>
      </c>
      <c r="N162" s="1" t="s">
        <v>999</v>
      </c>
      <c r="O162" s="1" t="s">
        <v>41</v>
      </c>
      <c r="P162" s="1" t="s">
        <v>28</v>
      </c>
    </row>
    <row r="163" ht="15.75" customHeight="1">
      <c r="A163" s="1" t="s">
        <v>1000</v>
      </c>
      <c r="B163" s="1" t="s">
        <v>17</v>
      </c>
      <c r="D163" s="1" t="s">
        <v>17</v>
      </c>
      <c r="E163" s="1" t="s">
        <v>17</v>
      </c>
      <c r="F163" s="1" t="s">
        <v>17</v>
      </c>
      <c r="G163" s="1" t="s">
        <v>21</v>
      </c>
      <c r="H163" s="1" t="s">
        <v>22</v>
      </c>
      <c r="I163" s="1" t="s">
        <v>17</v>
      </c>
      <c r="J163" s="1" t="s">
        <v>17</v>
      </c>
      <c r="K163" s="1" t="s">
        <v>17</v>
      </c>
      <c r="L163" s="1" t="s">
        <v>17</v>
      </c>
      <c r="M163" s="1" t="s">
        <v>733</v>
      </c>
      <c r="N163" s="1" t="s">
        <v>17</v>
      </c>
      <c r="O163" s="1" t="s">
        <v>41</v>
      </c>
      <c r="P163" s="1" t="s">
        <v>28</v>
      </c>
    </row>
    <row r="164" ht="15.75" customHeight="1">
      <c r="A164" s="1" t="s">
        <v>1001</v>
      </c>
      <c r="B164" s="1" t="s">
        <v>1002</v>
      </c>
      <c r="D164" s="1" t="str">
        <f>image("https://lh3.googleusercontent.com/p/AF1QipOhWsrM21PR2wYgP9SWi-TywY2gTvQZBEWQDjmd=s680-w680-h510")</f>
        <v/>
      </c>
      <c r="E164" s="1" t="s">
        <v>1003</v>
      </c>
      <c r="F164" s="1" t="s">
        <v>1004</v>
      </c>
      <c r="G164" s="1" t="s">
        <v>21</v>
      </c>
      <c r="H164" s="1" t="s">
        <v>22</v>
      </c>
      <c r="I164" s="1" t="s">
        <v>23</v>
      </c>
      <c r="J164" s="1" t="s">
        <v>17</v>
      </c>
      <c r="K164" s="1" t="s">
        <v>17</v>
      </c>
      <c r="L164" s="1" t="s">
        <v>17</v>
      </c>
      <c r="M164" s="1" t="s">
        <v>17</v>
      </c>
      <c r="N164" s="1" t="s">
        <v>17</v>
      </c>
      <c r="O164" s="1" t="s">
        <v>1005</v>
      </c>
      <c r="P164" s="1" t="s">
        <v>28</v>
      </c>
    </row>
    <row r="165" ht="15.75" customHeight="1">
      <c r="A165" s="1" t="s">
        <v>1006</v>
      </c>
      <c r="B165" s="1" t="s">
        <v>17</v>
      </c>
      <c r="D165" s="1" t="s">
        <v>17</v>
      </c>
      <c r="E165" s="1" t="s">
        <v>17</v>
      </c>
      <c r="F165" s="1" t="s">
        <v>17</v>
      </c>
      <c r="G165" s="1" t="s">
        <v>17</v>
      </c>
      <c r="H165" s="1" t="s">
        <v>22</v>
      </c>
      <c r="I165" s="1" t="s">
        <v>17</v>
      </c>
      <c r="J165" s="1" t="s">
        <v>17</v>
      </c>
      <c r="K165" s="1" t="s">
        <v>17</v>
      </c>
      <c r="L165" s="1" t="s">
        <v>17</v>
      </c>
      <c r="M165" s="1" t="s">
        <v>17</v>
      </c>
      <c r="N165" s="1" t="s">
        <v>17</v>
      </c>
      <c r="O165" s="1" t="s">
        <v>41</v>
      </c>
      <c r="P165" s="1" t="s">
        <v>28</v>
      </c>
    </row>
    <row r="166" ht="15.75" customHeight="1">
      <c r="A166" s="1" t="s">
        <v>1007</v>
      </c>
      <c r="B166" s="1" t="s">
        <v>17</v>
      </c>
      <c r="D166" s="1" t="s">
        <v>17</v>
      </c>
      <c r="E166" s="1" t="s">
        <v>17</v>
      </c>
      <c r="F166" s="1" t="s">
        <v>20</v>
      </c>
      <c r="G166" s="1" t="s">
        <v>21</v>
      </c>
      <c r="H166" s="1" t="s">
        <v>22</v>
      </c>
      <c r="I166" s="1" t="s">
        <v>17</v>
      </c>
      <c r="J166" s="1" t="s">
        <v>17</v>
      </c>
      <c r="K166" s="1" t="s">
        <v>17</v>
      </c>
      <c r="L166" s="1" t="s">
        <v>17</v>
      </c>
      <c r="M166" s="1" t="s">
        <v>733</v>
      </c>
      <c r="N166" s="1" t="s">
        <v>17</v>
      </c>
      <c r="O166" s="1" t="s">
        <v>41</v>
      </c>
      <c r="P166" s="1" t="s">
        <v>28</v>
      </c>
    </row>
    <row r="167" ht="15.75" customHeight="1">
      <c r="A167" s="1" t="s">
        <v>1008</v>
      </c>
      <c r="B167" s="1" t="s">
        <v>1009</v>
      </c>
      <c r="C167" s="1" t="s">
        <v>805</v>
      </c>
      <c r="D167" s="1" t="s">
        <v>17</v>
      </c>
      <c r="E167" s="1" t="s">
        <v>1010</v>
      </c>
      <c r="F167" s="1" t="s">
        <v>1011</v>
      </c>
      <c r="G167" s="1" t="s">
        <v>21</v>
      </c>
      <c r="H167" s="1" t="s">
        <v>22</v>
      </c>
      <c r="I167" s="1" t="s">
        <v>17</v>
      </c>
      <c r="J167" s="1" t="s">
        <v>17</v>
      </c>
      <c r="K167" s="1" t="s">
        <v>449</v>
      </c>
      <c r="L167" s="1" t="s">
        <v>17</v>
      </c>
      <c r="M167" s="1" t="s">
        <v>1012</v>
      </c>
      <c r="N167" s="1" t="s">
        <v>17</v>
      </c>
      <c r="O167" s="1" t="s">
        <v>320</v>
      </c>
      <c r="P167" s="1" t="s">
        <v>28</v>
      </c>
    </row>
    <row r="168" ht="15.75" customHeight="1">
      <c r="A168" s="1" t="s">
        <v>1013</v>
      </c>
      <c r="B168" s="1" t="s">
        <v>17</v>
      </c>
      <c r="D168" s="1" t="s">
        <v>17</v>
      </c>
      <c r="E168" s="1" t="s">
        <v>1014</v>
      </c>
      <c r="F168" s="1" t="s">
        <v>1015</v>
      </c>
      <c r="G168" s="1" t="s">
        <v>21</v>
      </c>
      <c r="H168" s="1" t="s">
        <v>22</v>
      </c>
      <c r="I168" s="1" t="s">
        <v>23</v>
      </c>
      <c r="J168" s="1" t="s">
        <v>17</v>
      </c>
      <c r="K168" s="1" t="s">
        <v>1016</v>
      </c>
      <c r="L168" s="1" t="s">
        <v>17</v>
      </c>
      <c r="M168" s="1" t="s">
        <v>17</v>
      </c>
      <c r="N168" s="1" t="s">
        <v>17</v>
      </c>
      <c r="O168" s="1" t="s">
        <v>1017</v>
      </c>
      <c r="P168" s="1" t="s">
        <v>28</v>
      </c>
    </row>
    <row r="169" ht="15.75" customHeight="1">
      <c r="A169" s="1" t="s">
        <v>1018</v>
      </c>
      <c r="B169" s="1" t="s">
        <v>17</v>
      </c>
      <c r="D169" s="1" t="s">
        <v>17</v>
      </c>
      <c r="E169" s="1" t="s">
        <v>17</v>
      </c>
      <c r="F169" s="1" t="s">
        <v>17</v>
      </c>
      <c r="G169" s="1" t="s">
        <v>17</v>
      </c>
      <c r="H169" s="1" t="s">
        <v>22</v>
      </c>
      <c r="I169" s="1" t="s">
        <v>17</v>
      </c>
      <c r="J169" s="1" t="s">
        <v>17</v>
      </c>
      <c r="K169" s="1" t="s">
        <v>17</v>
      </c>
      <c r="L169" s="1" t="s">
        <v>17</v>
      </c>
      <c r="M169" s="1" t="s">
        <v>1019</v>
      </c>
      <c r="N169" s="1" t="s">
        <v>146</v>
      </c>
      <c r="O169" s="1" t="s">
        <v>41</v>
      </c>
      <c r="P169" s="1" t="s">
        <v>28</v>
      </c>
    </row>
    <row r="170" ht="15.75" customHeight="1">
      <c r="A170" s="1" t="s">
        <v>1020</v>
      </c>
      <c r="B170" s="1" t="s">
        <v>17</v>
      </c>
      <c r="D170" s="1" t="s">
        <v>17</v>
      </c>
      <c r="E170" s="1" t="s">
        <v>17</v>
      </c>
      <c r="F170" s="1" t="s">
        <v>17</v>
      </c>
      <c r="G170" s="1" t="s">
        <v>17</v>
      </c>
      <c r="H170" s="1" t="s">
        <v>22</v>
      </c>
      <c r="I170" s="1" t="s">
        <v>17</v>
      </c>
      <c r="J170" s="1" t="s">
        <v>17</v>
      </c>
      <c r="K170" s="1" t="s">
        <v>17</v>
      </c>
      <c r="L170" s="1" t="s">
        <v>17</v>
      </c>
      <c r="M170" s="1" t="s">
        <v>1021</v>
      </c>
      <c r="N170" s="1" t="s">
        <v>1022</v>
      </c>
      <c r="O170" s="1" t="s">
        <v>41</v>
      </c>
      <c r="P170" s="1" t="s">
        <v>28</v>
      </c>
    </row>
    <row r="171" ht="15.75" customHeight="1">
      <c r="A171" s="1" t="s">
        <v>1023</v>
      </c>
      <c r="B171" s="1" t="s">
        <v>17</v>
      </c>
      <c r="D171" s="1" t="str">
        <f>image("https://lh3.googleusercontent.com/p/AF1QipPLti0-bnMzaqncHRgNqwLmfpGXbMqLt5xNPNVa=s680-w680-h510")</f>
        <v/>
      </c>
      <c r="E171" s="1" t="s">
        <v>1024</v>
      </c>
      <c r="F171" s="1" t="s">
        <v>1025</v>
      </c>
      <c r="G171" s="1" t="s">
        <v>21</v>
      </c>
      <c r="H171" s="1" t="s">
        <v>22</v>
      </c>
      <c r="I171" s="1" t="s">
        <v>17</v>
      </c>
      <c r="J171" s="1" t="s">
        <v>17</v>
      </c>
      <c r="K171" s="1" t="s">
        <v>1026</v>
      </c>
      <c r="L171" s="1" t="s">
        <v>17</v>
      </c>
      <c r="M171" s="1" t="s">
        <v>1027</v>
      </c>
      <c r="N171" s="1" t="s">
        <v>1028</v>
      </c>
      <c r="O171" s="1" t="s">
        <v>1029</v>
      </c>
      <c r="P171" s="1" t="s">
        <v>28</v>
      </c>
    </row>
    <row r="172" ht="15.75" customHeight="1">
      <c r="A172" s="1" t="s">
        <v>1030</v>
      </c>
      <c r="B172" s="1" t="s">
        <v>17</v>
      </c>
      <c r="D172" s="1" t="s">
        <v>17</v>
      </c>
      <c r="E172" s="1" t="s">
        <v>17</v>
      </c>
      <c r="F172" s="1" t="s">
        <v>17</v>
      </c>
      <c r="G172" s="1" t="s">
        <v>17</v>
      </c>
      <c r="H172" s="1" t="s">
        <v>22</v>
      </c>
      <c r="I172" s="1" t="s">
        <v>17</v>
      </c>
      <c r="J172" s="1" t="s">
        <v>17</v>
      </c>
      <c r="K172" s="1" t="s">
        <v>17</v>
      </c>
      <c r="L172" s="1" t="s">
        <v>17</v>
      </c>
      <c r="M172" s="1" t="s">
        <v>210</v>
      </c>
      <c r="N172" s="1" t="s">
        <v>17</v>
      </c>
      <c r="O172" s="1" t="s">
        <v>41</v>
      </c>
      <c r="P172" s="1" t="s">
        <v>28</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hyperlinks>
    <hyperlink r:id="rId1" ref="N3"/>
    <hyperlink r:id="rId2" ref="N4"/>
    <hyperlink r:id="rId3" ref="N5"/>
    <hyperlink r:id="rId4" ref="N6"/>
    <hyperlink r:id="rId5" ref="N7"/>
    <hyperlink r:id="rId6" ref="N8"/>
    <hyperlink r:id="rId7" ref="N10"/>
    <hyperlink r:id="rId8" ref="J12"/>
    <hyperlink r:id="rId9" ref="J13"/>
    <hyperlink r:id="rId10" ref="L13"/>
    <hyperlink r:id="rId11" ref="N13"/>
    <hyperlink r:id="rId12" ref="J14"/>
    <hyperlink r:id="rId13" ref="N14"/>
    <hyperlink r:id="rId14" ref="J16"/>
    <hyperlink r:id="rId15" ref="N16"/>
    <hyperlink r:id="rId16" ref="N19"/>
    <hyperlink r:id="rId17" ref="J20"/>
    <hyperlink r:id="rId18" ref="N20"/>
    <hyperlink r:id="rId19" ref="N21"/>
    <hyperlink r:id="rId20" ref="J22"/>
    <hyperlink r:id="rId21" ref="J23"/>
    <hyperlink r:id="rId22" ref="N23"/>
    <hyperlink r:id="rId23" ref="J24"/>
    <hyperlink r:id="rId24" ref="J25"/>
    <hyperlink r:id="rId25" ref="M25"/>
    <hyperlink r:id="rId26" ref="N27"/>
    <hyperlink r:id="rId27" ref="J28"/>
    <hyperlink r:id="rId28" ref="N28"/>
    <hyperlink r:id="rId29" ref="J29"/>
    <hyperlink r:id="rId30" ref="J30"/>
    <hyperlink r:id="rId31" ref="J31"/>
    <hyperlink r:id="rId32" ref="N31"/>
    <hyperlink r:id="rId33" ref="J33"/>
    <hyperlink r:id="rId34" ref="N33"/>
    <hyperlink r:id="rId35" ref="J34"/>
    <hyperlink r:id="rId36" ref="N34"/>
    <hyperlink r:id="rId37" ref="J35"/>
    <hyperlink r:id="rId38" ref="N35"/>
    <hyperlink r:id="rId39" ref="J37"/>
    <hyperlink r:id="rId40" ref="J38"/>
    <hyperlink r:id="rId41" ref="N38"/>
    <hyperlink r:id="rId42" ref="N39"/>
    <hyperlink r:id="rId43" ref="J40"/>
    <hyperlink r:id="rId44" ref="N41"/>
    <hyperlink r:id="rId45" ref="M42"/>
    <hyperlink r:id="rId46" ref="N42"/>
    <hyperlink r:id="rId47" ref="J43"/>
    <hyperlink r:id="rId48" ref="N43"/>
    <hyperlink r:id="rId49" ref="J44"/>
    <hyperlink r:id="rId50" ref="N44"/>
    <hyperlink r:id="rId51" ref="J45"/>
    <hyperlink r:id="rId52" ref="N45"/>
    <hyperlink r:id="rId53" ref="J47"/>
    <hyperlink r:id="rId54" ref="N47"/>
    <hyperlink r:id="rId55" ref="J49"/>
    <hyperlink r:id="rId56" ref="N50"/>
    <hyperlink r:id="rId57" ref="J51"/>
    <hyperlink r:id="rId58" ref="N52"/>
    <hyperlink r:id="rId59" ref="J53"/>
    <hyperlink r:id="rId60" ref="J54"/>
    <hyperlink r:id="rId61" ref="N54"/>
    <hyperlink r:id="rId62" ref="J55"/>
    <hyperlink r:id="rId63" ref="J56"/>
    <hyperlink r:id="rId64" ref="N56"/>
    <hyperlink r:id="rId65" ref="N58"/>
    <hyperlink r:id="rId66" ref="J59"/>
    <hyperlink r:id="rId67" ref="N59"/>
    <hyperlink r:id="rId68" ref="N60"/>
    <hyperlink r:id="rId69" ref="J61"/>
    <hyperlink r:id="rId70" ref="L61"/>
    <hyperlink r:id="rId71" ref="N61"/>
    <hyperlink r:id="rId72" ref="J62"/>
    <hyperlink r:id="rId73" ref="J63"/>
    <hyperlink r:id="rId74" ref="N63"/>
    <hyperlink r:id="rId75" ref="J65"/>
    <hyperlink r:id="rId76" ref="J66"/>
    <hyperlink r:id="rId77" ref="N66"/>
    <hyperlink r:id="rId78" ref="J67"/>
    <hyperlink r:id="rId79" ref="J69"/>
    <hyperlink r:id="rId80" ref="N69"/>
    <hyperlink r:id="rId81" ref="J70"/>
    <hyperlink r:id="rId82" ref="N70"/>
    <hyperlink r:id="rId83" ref="J71"/>
    <hyperlink r:id="rId84" ref="J72"/>
    <hyperlink r:id="rId85" ref="N73"/>
    <hyperlink r:id="rId86" ref="J75"/>
    <hyperlink r:id="rId87" ref="N75"/>
    <hyperlink r:id="rId88" ref="J76"/>
    <hyperlink r:id="rId89" ref="L76"/>
    <hyperlink r:id="rId90" ref="N76"/>
    <hyperlink r:id="rId91" ref="J77"/>
    <hyperlink r:id="rId92" ref="J78"/>
    <hyperlink r:id="rId93" ref="N78"/>
    <hyperlink r:id="rId94" ref="J79"/>
    <hyperlink r:id="rId95" ref="J81"/>
    <hyperlink r:id="rId96" ref="M86"/>
    <hyperlink r:id="rId97" ref="N86"/>
  </hyperlinks>
  <printOptions/>
  <pageMargins bottom="0.75" footer="0.0" header="0.0" left="0.7" right="0.7" top="0.75"/>
  <pageSetup orientation="landscape"/>
  <drawing r:id="rId9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2024-02-18T23:48:43.943Z</dcterms:created>
  <dc:creator>Microsoft Office User</dc:creator>
</cp:coreProperties>
</file>